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orpus" sheetId="1" state="visible" r:id="rId3"/>
    <sheet name="Summary" sheetId="2" state="visible" r:id="rId4"/>
    <sheet name="Dimensions" sheetId="3" state="visible" r:id="rId5"/>
    <sheet name="Sources" sheetId="4" state="visible" r:id="rId6"/>
  </sheets>
  <definedNames>
    <definedName function="false" hidden="true" localSheetId="0" name="_xlnm._FilterDatabase" vbProcedure="false">'Test Corpus'!$A$4:$K$25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<sst xmlns="http://schemas.openxmlformats.org/spreadsheetml/2006/main" count="309" uniqueCount="169">
  <si>
    <t xml:space="preserve">IFC test corpus plan</t>
  </si>
  <si>
    <t xml:space="preserve">Variety matters more than count. Update the yellow Status column as files are collected - the Summary sheet recalculates.</t>
  </si>
  <si>
    <t xml:space="preserve">#</t>
  </si>
  <si>
    <t xml:space="preserve">Purpose</t>
  </si>
  <si>
    <t xml:space="preserve">Authoring tool</t>
  </si>
  <si>
    <t xml:space="preserve">IFC version</t>
  </si>
  <si>
    <t xml:space="preserve">Discipline</t>
  </si>
  <si>
    <t xml:space="preserve">Building type</t>
  </si>
  <si>
    <t xml:space="preserve">Quality</t>
  </si>
  <si>
    <t xml:space="preserve">Tier</t>
  </si>
  <si>
    <t xml:space="preserve">Suggested source</t>
  </si>
  <si>
    <t xml:space="preserve">Status</t>
  </si>
  <si>
    <t xml:space="preserve">Notes</t>
  </si>
  <si>
    <t xml:space="preserve">Old Revit export baseline</t>
  </si>
  <si>
    <t xml:space="preserve">Revit 2011</t>
  </si>
  <si>
    <t xml:space="preserve">IFC2x3</t>
  </si>
  <si>
    <t xml:space="preserve">Architecture</t>
  </si>
  <si>
    <t xml:space="preserve">Small residential</t>
  </si>
  <si>
    <t xml:space="preserve">Clean</t>
  </si>
  <si>
    <t xml:space="preserve">Minimum</t>
  </si>
  <si>
    <t xml:space="preserve">NIBS Duplex (already tested)</t>
  </si>
  <si>
    <t xml:space="preserve">Have</t>
  </si>
  <si>
    <t xml:space="preserve">Exporter quirks found: surface-model winding, junction overlaps</t>
  </si>
  <si>
    <t xml:space="preserve">Modern Revit export</t>
  </si>
  <si>
    <t xml:space="preserve">Revit (current)</t>
  </si>
  <si>
    <t xml:space="preserve">IFC4</t>
  </si>
  <si>
    <t xml:space="preserve">Multi-storey residential / office</t>
  </si>
  <si>
    <t xml:space="preserve">buildingSMART Sample-Test-Files or own re-export</t>
  </si>
  <si>
    <t xml:space="preserve">Missing</t>
  </si>
  <si>
    <t xml:space="preserve">Modern exporter differs greatly from 2011</t>
  </si>
  <si>
    <t xml:space="preserve">ArchiCAD architecture</t>
  </si>
  <si>
    <t xml:space="preserve">ArchiCAD</t>
  </si>
  <si>
    <t xml:space="preserve">Residential</t>
  </si>
  <si>
    <t xml:space="preserve">Real project</t>
  </si>
  <si>
    <t xml:space="preserve">Schependomlaan dataset (GitHub) - verify authoring tool</t>
  </si>
  <si>
    <t xml:space="preserve">ArchiCAD architecture, newer schema</t>
  </si>
  <si>
    <t xml:space="preserve">Multi-storey</t>
  </si>
  <si>
    <t xml:space="preserve">Confident</t>
  </si>
  <si>
    <t xml:space="preserve">Firm or vendor sample</t>
  </si>
  <si>
    <t xml:space="preserve">Structural concrete with reinforcement</t>
  </si>
  <si>
    <t xml:space="preserve">Tekla Structures</t>
  </si>
  <si>
    <t xml:space="preserve">Structure</t>
  </si>
  <si>
    <t xml:space="preserve">Concrete frame</t>
  </si>
  <si>
    <t xml:space="preserve">Tekla sample / firm</t>
  </si>
  <si>
    <t xml:space="preserve">Tests rebar, precast, assemblies</t>
  </si>
  <si>
    <t xml:space="preserve">Structural steel</t>
  </si>
  <si>
    <t xml:space="preserve">Steel hall / industrial</t>
  </si>
  <si>
    <t xml:space="preserve">Tests profiles, mass by section</t>
  </si>
  <si>
    <t xml:space="preserve">Revit structure</t>
  </si>
  <si>
    <t xml:space="preserve">Office</t>
  </si>
  <si>
    <t xml:space="preserve">NIBS Office set</t>
  </si>
  <si>
    <t xml:space="preserve">Installations</t>
  </si>
  <si>
    <t xml:space="preserve">Revit MEP</t>
  </si>
  <si>
    <t xml:space="preserve">MEP</t>
  </si>
  <si>
    <t xml:space="preserve">Office / clinic</t>
  </si>
  <si>
    <t xml:space="preserve">NIBS Office or Clinic set</t>
  </si>
  <si>
    <t xml:space="preserve">Pipes, ducts, fittings: count + length logic</t>
  </si>
  <si>
    <t xml:space="preserve">Allplan export</t>
  </si>
  <si>
    <t xml:space="preserve">Allplan</t>
  </si>
  <si>
    <t xml:space="preserve">Architecture / precast</t>
  </si>
  <si>
    <t xml:space="preserve">Residential / commercial</t>
  </si>
  <si>
    <t xml:space="preserve">Strong in DACH markets</t>
  </si>
  <si>
    <t xml:space="preserve">Secondary BIM tool</t>
  </si>
  <si>
    <t xml:space="preserve">Vectorworks or BricsCAD BIM</t>
  </si>
  <si>
    <t xml:space="preserve">Any</t>
  </si>
  <si>
    <t xml:space="preserve">Vendor sample</t>
  </si>
  <si>
    <t xml:space="preserve">Native-IFC authoring</t>
  </si>
  <si>
    <t xml:space="preserve">Bonsai / BlenderBIM</t>
  </si>
  <si>
    <t xml:space="preserve">Self-created or community samples</t>
  </si>
  <si>
    <t xml:space="preserve">Different patterns: IFC-native, often richer data</t>
  </si>
  <si>
    <t xml:space="preserve">Open-source alternative</t>
  </si>
  <si>
    <t xml:space="preserve">FreeCAD</t>
  </si>
  <si>
    <t xml:space="preserve">Varies</t>
  </si>
  <si>
    <t xml:space="preserve">Optional</t>
  </si>
  <si>
    <t xml:space="preserve">Self-created</t>
  </si>
  <si>
    <t xml:space="preserve">Federated set (same project)</t>
  </si>
  <si>
    <t xml:space="preserve">Revit (mixed)</t>
  </si>
  <si>
    <t xml:space="preserve">Arch + Struct + MEP</t>
  </si>
  <si>
    <t xml:space="preserve">Tests cross-model duplicates and ownership rules</t>
  </si>
  <si>
    <t xml:space="preserve">Federated set, real project</t>
  </si>
  <si>
    <t xml:space="preserve">Mixed tools</t>
  </si>
  <si>
    <t xml:space="preserve">IFC2x3 / IFC4</t>
  </si>
  <si>
    <t xml:space="preserve">Arch + Struct</t>
  </si>
  <si>
    <t xml:space="preserve">Firm partnership</t>
  </si>
  <si>
    <t xml:space="preserve">Ideally different tools per discipline</t>
  </si>
  <si>
    <t xml:space="preserve">Messy real-world architecture</t>
  </si>
  <si>
    <t xml:space="preserve">Messy</t>
  </si>
  <si>
    <t xml:space="preserve">Missing materials, odd naming, overlaps</t>
  </si>
  <si>
    <t xml:space="preserve">Messy real-world structure</t>
  </si>
  <si>
    <t xml:space="preserve">Export-settings robustness</t>
  </si>
  <si>
    <t xml:space="preserve">Same model x3</t>
  </si>
  <si>
    <t xml:space="preserve">Own exports: base quantities on/off, split by level</t>
  </si>
  <si>
    <t xml:space="preserve">Same model exported 3 ways</t>
  </si>
  <si>
    <t xml:space="preserve">Infrastructure schema</t>
  </si>
  <si>
    <t xml:space="preserve">Civil 3D / other</t>
  </si>
  <si>
    <t xml:space="preserve">IFC4.3</t>
  </si>
  <si>
    <t xml:space="preserve">Infrastructure</t>
  </si>
  <si>
    <t xml:space="preserve">Road / bridge</t>
  </si>
  <si>
    <t xml:space="preserve">buildingSMART Sample-Test-Files</t>
  </si>
  <si>
    <t xml:space="preserve">Only if scope includes infrastructure</t>
  </si>
  <si>
    <t xml:space="preserve">Accuracy reference A</t>
  </si>
  <si>
    <t xml:space="preserve">Accuracy</t>
  </si>
  <si>
    <t xml:space="preserve">Firm partnership + professional BoQ</t>
  </si>
  <si>
    <t xml:space="preserve">Needs IFC + hand-measured BoQ under known rulebook</t>
  </si>
  <si>
    <t xml:space="preserve">Accuracy reference B</t>
  </si>
  <si>
    <t xml:space="preserve">Commercial</t>
  </si>
  <si>
    <t xml:space="preserve">Accuracy reference C</t>
  </si>
  <si>
    <t xml:space="preserve">Different type</t>
  </si>
  <si>
    <t xml:space="preserve">Coverage summary</t>
  </si>
  <si>
    <t xml:space="preserve">All figures are formulas over the Test Corpus sheet.</t>
  </si>
  <si>
    <t xml:space="preserve">What it proves</t>
  </si>
  <si>
    <t xml:space="preserve">Target files</t>
  </si>
  <si>
    <t xml:space="preserve">Remaining</t>
  </si>
  <si>
    <t xml:space="preserve">% collected</t>
  </si>
  <si>
    <t xml:space="preserve">Basic test: engine is not tied to one tool (~6 files)</t>
  </si>
  <si>
    <t xml:space="preserve">Relatively confident working engine (Minimum + Confident = ~15-20 files)</t>
  </si>
  <si>
    <t xml:space="preserve">Extra coverage: open-source tools, infrastructure</t>
  </si>
  <si>
    <t xml:space="preserve">Separate requirement: output matches a professional BoQ</t>
  </si>
  <si>
    <t xml:space="preserve">Engine-ready</t>
  </si>
  <si>
    <t xml:space="preserve">Minimum + Confident</t>
  </si>
  <si>
    <t xml:space="preserve">Coverage by dimension</t>
  </si>
  <si>
    <t xml:space="preserve">Dimension</t>
  </si>
  <si>
    <t xml:space="preserve">Value</t>
  </si>
  <si>
    <t xml:space="preserve">Files planned</t>
  </si>
  <si>
    <t xml:space="preserve">Tool</t>
  </si>
  <si>
    <t xml:space="preserve">Revit</t>
  </si>
  <si>
    <t xml:space="preserve">Tekla</t>
  </si>
  <si>
    <t xml:space="preserve">Bonsai</t>
  </si>
  <si>
    <t xml:space="preserve">Note: plain AutoCAD is not a meaningful IFC source - IFC comes from BIM authoring tools.</t>
  </si>
  <si>
    <t xml:space="preserve">What variety the corpus must cover</t>
  </si>
  <si>
    <t xml:space="preserve">From the analysis: variety beats volume - 50 Revit files teach less than 10 from different tools.</t>
  </si>
  <si>
    <t xml:space="preserve">Why it matters</t>
  </si>
  <si>
    <t xml:space="preserve">Minimum to cover</t>
  </si>
  <si>
    <t xml:space="preserve">Each exports differently: materials, quantities, geometry types, naming</t>
  </si>
  <si>
    <t xml:space="preserve">Revit, ArchiCAD, Tekla Structures, one of Allplan / Vectorworks / BricsCAD, one native-IFC tool (Bonsai/BlenderBIM or FreeCAD)</t>
  </si>
  <si>
    <t xml:space="preserve">IFC2x3, IFC4 and IFC4.3 store things differently</t>
  </si>
  <si>
    <t xml:space="preserve">IFC2x3 and IFC4 (IFC4.3 for infrastructure)</t>
  </si>
  <si>
    <t xml:space="preserve">Exporter age</t>
  </si>
  <si>
    <t xml:space="preserve">A 2011 Revit export differs greatly from a current one</t>
  </si>
  <si>
    <t xml:space="preserve">One old export, several current ones</t>
  </si>
  <si>
    <t xml:space="preserve">Architecture, structure and MEP stress different logic</t>
  </si>
  <si>
    <t xml:space="preserve">All three, ideally from the same project</t>
  </si>
  <si>
    <t xml:space="preserve">Small timber residential vs concrete multi-storey vs steel hall</t>
  </si>
  <si>
    <t xml:space="preserve">3 types</t>
  </si>
  <si>
    <t xml:space="preserve">Model quality</t>
  </si>
  <si>
    <t xml:space="preserve">Clean sample files hide real-world mess</t>
  </si>
  <si>
    <t xml:space="preserve">At least 2 messy real-project files</t>
  </si>
  <si>
    <t xml:space="preserve">Export settings</t>
  </si>
  <si>
    <t xml:space="preserve">Same model exported with base quantities on/off or split differently tests robustness</t>
  </si>
  <si>
    <t xml:space="preserve">1 model exported 2-3 ways</t>
  </si>
  <si>
    <t xml:space="preserve">Free starting sources</t>
  </si>
  <si>
    <t xml:space="preserve">Cover roughly the first half of the plan. Messy files and professional BoQs must come from firms.</t>
  </si>
  <si>
    <t xml:space="preserve">Source</t>
  </si>
  <si>
    <t xml:space="preserve">What it offers</t>
  </si>
  <si>
    <t xml:space="preserve">Where</t>
  </si>
  <si>
    <t xml:space="preserve">Official test files across IFC versions (incl. IFC4.3)</t>
  </si>
  <si>
    <t xml:space="preserve">GitHub (buildingSMART)</t>
  </si>
  <si>
    <t xml:space="preserve">NIBS / COBie sample buildings</t>
  </si>
  <si>
    <t xml:space="preserve">Duplex (already tested), Office and Clinic models; some with structural and MEP files - usable as federated sets</t>
  </si>
  <si>
    <t xml:space="preserve">NIBS common BIM files</t>
  </si>
  <si>
    <t xml:space="preserve">Schependomlaan dataset</t>
  </si>
  <si>
    <t xml:space="preserve">Real Dutch residential project, multiple disciplines</t>
  </si>
  <si>
    <t xml:space="preserve">GitHub</t>
  </si>
  <si>
    <t xml:space="preserve">Own exports</t>
  </si>
  <si>
    <t xml:space="preserve">Same model exported with different settings; Bonsai/FreeCAD models created yourself</t>
  </si>
  <si>
    <t xml:space="preserve">Self-made</t>
  </si>
  <si>
    <t xml:space="preserve">Firm partnerships</t>
  </si>
  <si>
    <t xml:space="preserve">Messy real-world files, federated real projects, and professional BoQs for accuracy</t>
  </si>
  <si>
    <t xml:space="preserve">Required - no public substitute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</si>
</sst>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2A6B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2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B2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34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25" hidden="false" customHeight="true" outlineLevel="0" collapsed="false">
      <c r="A5" s="5" t="n">
        <v>1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7" t="s">
        <v>21</v>
      </c>
      <c r="K5" s="6" t="s">
        <v>22</v>
      </c>
    </row>
    <row r="6" customFormat="false" ht="23.25" hidden="false" customHeight="true" outlineLevel="0" collapsed="false">
      <c r="A6" s="5" t="n">
        <v>2</v>
      </c>
      <c r="B6" s="6" t="s">
        <v>23</v>
      </c>
      <c r="C6" s="6" t="s">
        <v>24</v>
      </c>
      <c r="D6" s="6" t="s">
        <v>25</v>
      </c>
      <c r="E6" s="6" t="s">
        <v>16</v>
      </c>
      <c r="F6" s="6" t="s">
        <v>26</v>
      </c>
      <c r="G6" s="6" t="s">
        <v>18</v>
      </c>
      <c r="H6" s="6" t="s">
        <v>19</v>
      </c>
      <c r="I6" s="6" t="s">
        <v>27</v>
      </c>
      <c r="J6" s="7" t="s">
        <v>28</v>
      </c>
      <c r="K6" s="6" t="s">
        <v>29</v>
      </c>
    </row>
    <row r="7" customFormat="false" ht="23.25" hidden="false" customHeight="true" outlineLevel="0" collapsed="false">
      <c r="A7" s="5" t="n">
        <v>3</v>
      </c>
      <c r="B7" s="6" t="s">
        <v>30</v>
      </c>
      <c r="C7" s="6" t="s">
        <v>31</v>
      </c>
      <c r="D7" s="6" t="s">
        <v>15</v>
      </c>
      <c r="E7" s="6" t="s">
        <v>16</v>
      </c>
      <c r="F7" s="6" t="s">
        <v>32</v>
      </c>
      <c r="G7" s="6" t="s">
        <v>33</v>
      </c>
      <c r="H7" s="6" t="s">
        <v>19</v>
      </c>
      <c r="I7" s="6" t="s">
        <v>34</v>
      </c>
      <c r="J7" s="7" t="s">
        <v>28</v>
      </c>
      <c r="K7" s="6"/>
    </row>
    <row r="8" customFormat="false" ht="15" hidden="false" customHeight="true" outlineLevel="0" collapsed="false">
      <c r="A8" s="5" t="n">
        <v>4</v>
      </c>
      <c r="B8" s="6" t="s">
        <v>35</v>
      </c>
      <c r="C8" s="6" t="s">
        <v>31</v>
      </c>
      <c r="D8" s="6" t="s">
        <v>25</v>
      </c>
      <c r="E8" s="6" t="s">
        <v>16</v>
      </c>
      <c r="F8" s="6" t="s">
        <v>36</v>
      </c>
      <c r="G8" s="6" t="s">
        <v>18</v>
      </c>
      <c r="H8" s="6" t="s">
        <v>37</v>
      </c>
      <c r="I8" s="6" t="s">
        <v>38</v>
      </c>
      <c r="J8" s="7" t="s">
        <v>28</v>
      </c>
      <c r="K8" s="6"/>
    </row>
    <row r="9" customFormat="false" ht="15" hidden="false" customHeight="true" outlineLevel="0" collapsed="false">
      <c r="A9" s="5" t="n">
        <v>5</v>
      </c>
      <c r="B9" s="6" t="s">
        <v>39</v>
      </c>
      <c r="C9" s="6" t="s">
        <v>40</v>
      </c>
      <c r="D9" s="6" t="s">
        <v>25</v>
      </c>
      <c r="E9" s="6" t="s">
        <v>41</v>
      </c>
      <c r="F9" s="6" t="s">
        <v>42</v>
      </c>
      <c r="G9" s="6" t="s">
        <v>18</v>
      </c>
      <c r="H9" s="6" t="s">
        <v>19</v>
      </c>
      <c r="I9" s="6" t="s">
        <v>43</v>
      </c>
      <c r="J9" s="7" t="s">
        <v>28</v>
      </c>
      <c r="K9" s="6" t="s">
        <v>44</v>
      </c>
    </row>
    <row r="10" customFormat="false" ht="15" hidden="false" customHeight="true" outlineLevel="0" collapsed="false">
      <c r="A10" s="5" t="n">
        <v>6</v>
      </c>
      <c r="B10" s="6" t="s">
        <v>45</v>
      </c>
      <c r="C10" s="6" t="s">
        <v>40</v>
      </c>
      <c r="D10" s="6" t="s">
        <v>15</v>
      </c>
      <c r="E10" s="6" t="s">
        <v>41</v>
      </c>
      <c r="F10" s="6" t="s">
        <v>46</v>
      </c>
      <c r="G10" s="6" t="s">
        <v>18</v>
      </c>
      <c r="H10" s="6" t="s">
        <v>37</v>
      </c>
      <c r="I10" s="6" t="s">
        <v>43</v>
      </c>
      <c r="J10" s="7" t="s">
        <v>28</v>
      </c>
      <c r="K10" s="6" t="s">
        <v>47</v>
      </c>
    </row>
    <row r="11" customFormat="false" ht="15" hidden="false" customHeight="true" outlineLevel="0" collapsed="false">
      <c r="A11" s="5" t="n">
        <v>7</v>
      </c>
      <c r="B11" s="6" t="s">
        <v>48</v>
      </c>
      <c r="C11" s="6" t="s">
        <v>24</v>
      </c>
      <c r="D11" s="6" t="s">
        <v>25</v>
      </c>
      <c r="E11" s="6" t="s">
        <v>41</v>
      </c>
      <c r="F11" s="6" t="s">
        <v>49</v>
      </c>
      <c r="G11" s="6" t="s">
        <v>18</v>
      </c>
      <c r="H11" s="6" t="s">
        <v>37</v>
      </c>
      <c r="I11" s="6" t="s">
        <v>50</v>
      </c>
      <c r="J11" s="7" t="s">
        <v>28</v>
      </c>
      <c r="K11" s="6"/>
    </row>
    <row r="12" customFormat="false" ht="15" hidden="false" customHeight="true" outlineLevel="0" collapsed="false">
      <c r="A12" s="5" t="n">
        <v>8</v>
      </c>
      <c r="B12" s="6" t="s">
        <v>51</v>
      </c>
      <c r="C12" s="6" t="s">
        <v>52</v>
      </c>
      <c r="D12" s="6" t="s">
        <v>15</v>
      </c>
      <c r="E12" s="6" t="s">
        <v>53</v>
      </c>
      <c r="F12" s="6" t="s">
        <v>54</v>
      </c>
      <c r="G12" s="6" t="s">
        <v>18</v>
      </c>
      <c r="H12" s="6" t="s">
        <v>37</v>
      </c>
      <c r="I12" s="6" t="s">
        <v>55</v>
      </c>
      <c r="J12" s="7" t="s">
        <v>28</v>
      </c>
      <c r="K12" s="6" t="s">
        <v>56</v>
      </c>
    </row>
    <row r="13" customFormat="false" ht="23.25" hidden="false" customHeight="true" outlineLevel="0" collapsed="false">
      <c r="A13" s="5" t="n">
        <v>9</v>
      </c>
      <c r="B13" s="6" t="s">
        <v>57</v>
      </c>
      <c r="C13" s="6" t="s">
        <v>58</v>
      </c>
      <c r="D13" s="6" t="s">
        <v>25</v>
      </c>
      <c r="E13" s="6" t="s">
        <v>59</v>
      </c>
      <c r="F13" s="6" t="s">
        <v>60</v>
      </c>
      <c r="G13" s="6" t="s">
        <v>18</v>
      </c>
      <c r="H13" s="6" t="s">
        <v>37</v>
      </c>
      <c r="I13" s="6" t="s">
        <v>38</v>
      </c>
      <c r="J13" s="7" t="s">
        <v>28</v>
      </c>
      <c r="K13" s="6" t="s">
        <v>61</v>
      </c>
    </row>
    <row r="14" customFormat="false" ht="23.25" hidden="false" customHeight="true" outlineLevel="0" collapsed="false">
      <c r="A14" s="5" t="n">
        <v>10</v>
      </c>
      <c r="B14" s="6" t="s">
        <v>62</v>
      </c>
      <c r="C14" s="6" t="s">
        <v>63</v>
      </c>
      <c r="D14" s="6" t="s">
        <v>25</v>
      </c>
      <c r="E14" s="6" t="s">
        <v>16</v>
      </c>
      <c r="F14" s="6" t="s">
        <v>64</v>
      </c>
      <c r="G14" s="6" t="s">
        <v>18</v>
      </c>
      <c r="H14" s="6" t="s">
        <v>37</v>
      </c>
      <c r="I14" s="6" t="s">
        <v>65</v>
      </c>
      <c r="J14" s="7" t="s">
        <v>28</v>
      </c>
      <c r="K14" s="6"/>
    </row>
    <row r="15" customFormat="false" ht="15" hidden="false" customHeight="true" outlineLevel="0" collapsed="false">
      <c r="A15" s="5" t="n">
        <v>11</v>
      </c>
      <c r="B15" s="6" t="s">
        <v>66</v>
      </c>
      <c r="C15" s="6" t="s">
        <v>67</v>
      </c>
      <c r="D15" s="6" t="s">
        <v>25</v>
      </c>
      <c r="E15" s="6" t="s">
        <v>16</v>
      </c>
      <c r="F15" s="6" t="s">
        <v>64</v>
      </c>
      <c r="G15" s="6" t="s">
        <v>18</v>
      </c>
      <c r="H15" s="6" t="s">
        <v>19</v>
      </c>
      <c r="I15" s="6" t="s">
        <v>68</v>
      </c>
      <c r="J15" s="7" t="s">
        <v>28</v>
      </c>
      <c r="K15" s="6" t="s">
        <v>69</v>
      </c>
    </row>
    <row r="16" customFormat="false" ht="15" hidden="false" customHeight="true" outlineLevel="0" collapsed="false">
      <c r="A16" s="5" t="n">
        <v>12</v>
      </c>
      <c r="B16" s="6" t="s">
        <v>70</v>
      </c>
      <c r="C16" s="6" t="s">
        <v>71</v>
      </c>
      <c r="D16" s="6" t="s">
        <v>25</v>
      </c>
      <c r="E16" s="6" t="s">
        <v>16</v>
      </c>
      <c r="F16" s="6" t="s">
        <v>64</v>
      </c>
      <c r="G16" s="6" t="s">
        <v>72</v>
      </c>
      <c r="H16" s="6" t="s">
        <v>73</v>
      </c>
      <c r="I16" s="6" t="s">
        <v>74</v>
      </c>
      <c r="J16" s="7" t="s">
        <v>28</v>
      </c>
      <c r="K16" s="6"/>
    </row>
    <row r="17" customFormat="false" ht="23.25" hidden="false" customHeight="true" outlineLevel="0" collapsed="false">
      <c r="A17" s="5" t="n">
        <v>13</v>
      </c>
      <c r="B17" s="6" t="s">
        <v>75</v>
      </c>
      <c r="C17" s="6" t="s">
        <v>76</v>
      </c>
      <c r="D17" s="6" t="s">
        <v>15</v>
      </c>
      <c r="E17" s="6" t="s">
        <v>77</v>
      </c>
      <c r="F17" s="6" t="s">
        <v>49</v>
      </c>
      <c r="G17" s="6" t="s">
        <v>18</v>
      </c>
      <c r="H17" s="6" t="s">
        <v>19</v>
      </c>
      <c r="I17" s="6" t="s">
        <v>50</v>
      </c>
      <c r="J17" s="7" t="s">
        <v>28</v>
      </c>
      <c r="K17" s="6" t="s">
        <v>78</v>
      </c>
    </row>
    <row r="18" customFormat="false" ht="23.25" hidden="false" customHeight="true" outlineLevel="0" collapsed="false">
      <c r="A18" s="5" t="n">
        <v>14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64</v>
      </c>
      <c r="G18" s="6" t="s">
        <v>33</v>
      </c>
      <c r="H18" s="6" t="s">
        <v>37</v>
      </c>
      <c r="I18" s="6" t="s">
        <v>83</v>
      </c>
      <c r="J18" s="7" t="s">
        <v>28</v>
      </c>
      <c r="K18" s="6" t="s">
        <v>84</v>
      </c>
    </row>
    <row r="19" customFormat="false" ht="15" hidden="false" customHeight="true" outlineLevel="0" collapsed="false">
      <c r="A19" s="5" t="n">
        <v>15</v>
      </c>
      <c r="B19" s="6" t="s">
        <v>85</v>
      </c>
      <c r="C19" s="6" t="s">
        <v>64</v>
      </c>
      <c r="D19" s="6" t="s">
        <v>64</v>
      </c>
      <c r="E19" s="6" t="s">
        <v>16</v>
      </c>
      <c r="F19" s="6" t="s">
        <v>64</v>
      </c>
      <c r="G19" s="6" t="s">
        <v>86</v>
      </c>
      <c r="H19" s="6" t="s">
        <v>37</v>
      </c>
      <c r="I19" s="6" t="s">
        <v>83</v>
      </c>
      <c r="J19" s="7" t="s">
        <v>28</v>
      </c>
      <c r="K19" s="6" t="s">
        <v>87</v>
      </c>
    </row>
    <row r="20" customFormat="false" ht="15" hidden="false" customHeight="true" outlineLevel="0" collapsed="false">
      <c r="A20" s="5" t="n">
        <v>16</v>
      </c>
      <c r="B20" s="6" t="s">
        <v>88</v>
      </c>
      <c r="C20" s="6" t="s">
        <v>64</v>
      </c>
      <c r="D20" s="6" t="s">
        <v>64</v>
      </c>
      <c r="E20" s="6" t="s">
        <v>41</v>
      </c>
      <c r="F20" s="6" t="s">
        <v>64</v>
      </c>
      <c r="G20" s="6" t="s">
        <v>86</v>
      </c>
      <c r="H20" s="6" t="s">
        <v>37</v>
      </c>
      <c r="I20" s="6" t="s">
        <v>83</v>
      </c>
      <c r="J20" s="7" t="s">
        <v>28</v>
      </c>
      <c r="K20" s="6"/>
    </row>
    <row r="21" customFormat="false" ht="23.25" hidden="false" customHeight="true" outlineLevel="0" collapsed="false">
      <c r="A21" s="5" t="n">
        <v>17</v>
      </c>
      <c r="B21" s="6" t="s">
        <v>89</v>
      </c>
      <c r="C21" s="6" t="s">
        <v>24</v>
      </c>
      <c r="D21" s="6" t="s">
        <v>25</v>
      </c>
      <c r="E21" s="6" t="s">
        <v>16</v>
      </c>
      <c r="F21" s="6" t="s">
        <v>90</v>
      </c>
      <c r="G21" s="6" t="s">
        <v>18</v>
      </c>
      <c r="H21" s="6" t="s">
        <v>37</v>
      </c>
      <c r="I21" s="6" t="s">
        <v>91</v>
      </c>
      <c r="J21" s="7" t="s">
        <v>28</v>
      </c>
      <c r="K21" s="6" t="s">
        <v>92</v>
      </c>
    </row>
    <row r="22" customFormat="false" ht="15" hidden="false" customHeight="true" outlineLevel="0" collapsed="false">
      <c r="A22" s="5" t="n">
        <v>18</v>
      </c>
      <c r="B22" s="6" t="s">
        <v>93</v>
      </c>
      <c r="C22" s="6" t="s">
        <v>94</v>
      </c>
      <c r="D22" s="6" t="s">
        <v>95</v>
      </c>
      <c r="E22" s="6" t="s">
        <v>96</v>
      </c>
      <c r="F22" s="6" t="s">
        <v>97</v>
      </c>
      <c r="G22" s="6" t="s">
        <v>18</v>
      </c>
      <c r="H22" s="6" t="s">
        <v>73</v>
      </c>
      <c r="I22" s="6" t="s">
        <v>98</v>
      </c>
      <c r="J22" s="7" t="s">
        <v>28</v>
      </c>
      <c r="K22" s="6" t="s">
        <v>99</v>
      </c>
    </row>
    <row r="23" customFormat="false" ht="23.25" hidden="false" customHeight="true" outlineLevel="0" collapsed="false">
      <c r="A23" s="5" t="n">
        <v>19</v>
      </c>
      <c r="B23" s="6" t="s">
        <v>100</v>
      </c>
      <c r="C23" s="6" t="s">
        <v>64</v>
      </c>
      <c r="D23" s="6" t="s">
        <v>64</v>
      </c>
      <c r="E23" s="6" t="s">
        <v>16</v>
      </c>
      <c r="F23" s="6" t="s">
        <v>32</v>
      </c>
      <c r="G23" s="6" t="s">
        <v>33</v>
      </c>
      <c r="H23" s="6" t="s">
        <v>101</v>
      </c>
      <c r="I23" s="6" t="s">
        <v>102</v>
      </c>
      <c r="J23" s="7" t="s">
        <v>28</v>
      </c>
      <c r="K23" s="6" t="s">
        <v>103</v>
      </c>
    </row>
    <row r="24" customFormat="false" ht="23.25" hidden="false" customHeight="true" outlineLevel="0" collapsed="false">
      <c r="A24" s="5" t="n">
        <v>20</v>
      </c>
      <c r="B24" s="6" t="s">
        <v>104</v>
      </c>
      <c r="C24" s="6" t="s">
        <v>64</v>
      </c>
      <c r="D24" s="6" t="s">
        <v>64</v>
      </c>
      <c r="E24" s="6" t="s">
        <v>82</v>
      </c>
      <c r="F24" s="6" t="s">
        <v>105</v>
      </c>
      <c r="G24" s="6" t="s">
        <v>33</v>
      </c>
      <c r="H24" s="6" t="s">
        <v>101</v>
      </c>
      <c r="I24" s="6" t="s">
        <v>102</v>
      </c>
      <c r="J24" s="7" t="s">
        <v>28</v>
      </c>
      <c r="K24" s="6"/>
    </row>
    <row r="25" customFormat="false" ht="23.25" hidden="false" customHeight="true" outlineLevel="0" collapsed="false">
      <c r="A25" s="5" t="n">
        <v>21</v>
      </c>
      <c r="B25" s="6" t="s">
        <v>106</v>
      </c>
      <c r="C25" s="6" t="s">
        <v>64</v>
      </c>
      <c r="D25" s="6" t="s">
        <v>64</v>
      </c>
      <c r="E25" s="6" t="s">
        <v>64</v>
      </c>
      <c r="F25" s="6" t="s">
        <v>107</v>
      </c>
      <c r="G25" s="6" t="s">
        <v>33</v>
      </c>
      <c r="H25" s="6" t="s">
        <v>101</v>
      </c>
      <c r="I25" s="6" t="s">
        <v>102</v>
      </c>
      <c r="J25" s="7" t="s">
        <v>28</v>
      </c>
      <c r="K25" s="6"/>
    </row>
  </sheetData>
  <autoFilter ref="A4:K25"/>
  <dataValidations count="1">
    <dataValidation allowBlank="true" errorStyle="stop" operator="between" showDropDown="false" showErrorMessage="false" showInputMessage="false" sqref="J5:J25" type="list">
      <formula1>"Have,Searching,Missing"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6" min="5" style="1" width="12"/>
  </cols>
  <sheetData>
    <row r="1" customFormat="false" ht="17.25" hidden="false" customHeight="true" outlineLevel="0" collapsed="false">
      <c r="A1" s="2" t="s">
        <v>108</v>
      </c>
    </row>
    <row r="2" customFormat="false" ht="15" hidden="false" customHeight="true" outlineLevel="0" collapsed="false">
      <c r="A2" s="3" t="s">
        <v>109</v>
      </c>
    </row>
    <row r="4" customFormat="false" ht="15" hidden="false" customHeight="true" outlineLevel="0" collapsed="false">
      <c r="A4" s="4" t="s">
        <v>9</v>
      </c>
      <c r="B4" s="4" t="s">
        <v>110</v>
      </c>
      <c r="C4" s="4" t="s">
        <v>111</v>
      </c>
      <c r="D4" s="4" t="s">
        <v>21</v>
      </c>
      <c r="E4" s="4" t="s">
        <v>112</v>
      </c>
      <c r="F4" s="4" t="s">
        <v>113</v>
      </c>
    </row>
    <row r="5" customFormat="false" ht="15" hidden="false" customHeight="true" outlineLevel="0" collapsed="false">
      <c r="A5" s="5" t="s">
        <v>19</v>
      </c>
      <c r="B5" s="6" t="s">
        <v>114</v>
      </c>
      <c r="C5" s="6" t="n">
        <f aca="false">COUNTIFS('Test Corpus'!$H$5:$H$25,A5)</f>
        <v>6</v>
      </c>
      <c r="D5" s="6" t="n">
        <f aca="false">COUNTIFS('Test Corpus'!$H$5:$H$25,A5,'Test Corpus'!$J$5:$J$25,"Have")</f>
        <v>1</v>
      </c>
      <c r="E5" s="6" t="n">
        <f aca="false">C5-D5</f>
        <v>5</v>
      </c>
      <c r="F5" s="8" t="n">
        <f aca="false">IF(C5=0,0,D5/C5)</f>
        <v>0.166666666666667</v>
      </c>
    </row>
    <row r="6" customFormat="false" ht="23.25" hidden="false" customHeight="true" outlineLevel="0" collapsed="false">
      <c r="A6" s="5" t="s">
        <v>37</v>
      </c>
      <c r="B6" s="6" t="s">
        <v>115</v>
      </c>
      <c r="C6" s="6" t="n">
        <f aca="false">COUNTIFS('Test Corpus'!$H$5:$H$25,A6)</f>
        <v>10</v>
      </c>
      <c r="D6" s="6" t="n">
        <f aca="false">COUNTIFS('Test Corpus'!$H$5:$H$25,A6,'Test Corpus'!$J$5:$J$25,"Have")</f>
        <v>0</v>
      </c>
      <c r="E6" s="6" t="n">
        <f aca="false">C6-D6</f>
        <v>10</v>
      </c>
      <c r="F6" s="8" t="n">
        <f aca="false">IF(C6=0,0,D6/C6)</f>
        <v>0</v>
      </c>
    </row>
    <row r="7" customFormat="false" ht="15" hidden="false" customHeight="true" outlineLevel="0" collapsed="false">
      <c r="A7" s="5" t="s">
        <v>73</v>
      </c>
      <c r="B7" s="6" t="s">
        <v>116</v>
      </c>
      <c r="C7" s="6" t="n">
        <f aca="false">COUNTIFS('Test Corpus'!$H$5:$H$25,A7)</f>
        <v>2</v>
      </c>
      <c r="D7" s="6" t="n">
        <f aca="false">COUNTIFS('Test Corpus'!$H$5:$H$25,A7,'Test Corpus'!$J$5:$J$25,"Have")</f>
        <v>0</v>
      </c>
      <c r="E7" s="6" t="n">
        <f aca="false">C7-D7</f>
        <v>2</v>
      </c>
      <c r="F7" s="8" t="n">
        <f aca="false">IF(C7=0,0,D7/C7)</f>
        <v>0</v>
      </c>
    </row>
    <row r="8" customFormat="false" ht="15" hidden="false" customHeight="true" outlineLevel="0" collapsed="false">
      <c r="A8" s="5" t="s">
        <v>101</v>
      </c>
      <c r="B8" s="6" t="s">
        <v>117</v>
      </c>
      <c r="C8" s="6" t="n">
        <f aca="false">COUNTIFS('Test Corpus'!$H$5:$H$25,A8)</f>
        <v>3</v>
      </c>
      <c r="D8" s="6" t="n">
        <f aca="false">COUNTIFS('Test Corpus'!$H$5:$H$25,A8,'Test Corpus'!$J$5:$J$25,"Have")</f>
        <v>0</v>
      </c>
      <c r="E8" s="6" t="n">
        <f aca="false">C8-D8</f>
        <v>3</v>
      </c>
      <c r="F8" s="8" t="n">
        <f aca="false">IF(C8=0,0,D8/C8)</f>
        <v>0</v>
      </c>
    </row>
    <row r="9" customFormat="false" ht="15" hidden="false" customHeight="true" outlineLevel="0" collapsed="false">
      <c r="A9" s="9" t="s">
        <v>118</v>
      </c>
      <c r="B9" s="9" t="s">
        <v>119</v>
      </c>
      <c r="C9" s="9" t="n">
        <f aca="false">C5+C6</f>
        <v>16</v>
      </c>
      <c r="D9" s="9" t="n">
        <f aca="false">D5+D6</f>
        <v>1</v>
      </c>
      <c r="E9" s="9" t="n">
        <f aca="false">C9-D9</f>
        <v>15</v>
      </c>
      <c r="F9" s="10" t="n">
        <f aca="false">IF(C9=0,0,D9/C9)</f>
        <v>0.0625</v>
      </c>
    </row>
    <row r="11" customFormat="false" ht="15" hidden="false" customHeight="true" outlineLevel="0" collapsed="false">
      <c r="A11" s="11" t="s">
        <v>120</v>
      </c>
    </row>
    <row r="12" customFormat="false" ht="15" hidden="false" customHeight="true" outlineLevel="0" collapsed="false">
      <c r="A12" s="4" t="s">
        <v>121</v>
      </c>
      <c r="B12" s="4" t="s">
        <v>122</v>
      </c>
      <c r="C12" s="4" t="s">
        <v>123</v>
      </c>
      <c r="D12" s="4" t="s">
        <v>21</v>
      </c>
    </row>
    <row r="13" customFormat="false" ht="15" hidden="false" customHeight="true" outlineLevel="0" collapsed="false">
      <c r="A13" s="5" t="s">
        <v>124</v>
      </c>
      <c r="B13" s="6" t="s">
        <v>125</v>
      </c>
      <c r="C13" s="6" t="n">
        <f aca="false">COUNTIFS('Test Corpus'!$C$5:$C$25,"*"&amp;B13&amp;"*")</f>
        <v>6</v>
      </c>
      <c r="D13" s="6" t="n">
        <f aca="false">COUNTIFS('Test Corpus'!$C$5:$C$25,"*"&amp;B13&amp;"*",'Test Corpus'!$J$5:$J$25,"Have")</f>
        <v>1</v>
      </c>
    </row>
    <row r="14" customFormat="false" ht="15" hidden="false" customHeight="true" outlineLevel="0" collapsed="false">
      <c r="A14" s="5" t="s">
        <v>124</v>
      </c>
      <c r="B14" s="6" t="s">
        <v>31</v>
      </c>
      <c r="C14" s="6" t="n">
        <f aca="false">COUNTIFS('Test Corpus'!$C$5:$C$25,"*"&amp;B14&amp;"*")</f>
        <v>2</v>
      </c>
      <c r="D14" s="6" t="n">
        <f aca="false">COUNTIFS('Test Corpus'!$C$5:$C$25,"*"&amp;B14&amp;"*",'Test Corpus'!$J$5:$J$25,"Have")</f>
        <v>0</v>
      </c>
    </row>
    <row r="15" customFormat="false" ht="15" hidden="false" customHeight="true" outlineLevel="0" collapsed="false">
      <c r="A15" s="5" t="s">
        <v>124</v>
      </c>
      <c r="B15" s="6" t="s">
        <v>126</v>
      </c>
      <c r="C15" s="6" t="n">
        <f aca="false">COUNTIFS('Test Corpus'!$C$5:$C$25,"*"&amp;B15&amp;"*")</f>
        <v>2</v>
      </c>
      <c r="D15" s="6" t="n">
        <f aca="false">COUNTIFS('Test Corpus'!$C$5:$C$25,"*"&amp;B15&amp;"*",'Test Corpus'!$J$5:$J$25,"Have")</f>
        <v>0</v>
      </c>
    </row>
    <row r="16" customFormat="false" ht="15" hidden="false" customHeight="true" outlineLevel="0" collapsed="false">
      <c r="A16" s="5" t="s">
        <v>124</v>
      </c>
      <c r="B16" s="6" t="s">
        <v>58</v>
      </c>
      <c r="C16" s="6" t="n">
        <f aca="false">COUNTIFS('Test Corpus'!$C$5:$C$25,"*"&amp;B16&amp;"*")</f>
        <v>1</v>
      </c>
      <c r="D16" s="6" t="n">
        <f aca="false">COUNTIFS('Test Corpus'!$C$5:$C$25,"*"&amp;B16&amp;"*",'Test Corpus'!$J$5:$J$25,"Have")</f>
        <v>0</v>
      </c>
    </row>
    <row r="17" customFormat="false" ht="15" hidden="false" customHeight="true" outlineLevel="0" collapsed="false">
      <c r="A17" s="5" t="s">
        <v>124</v>
      </c>
      <c r="B17" s="6" t="s">
        <v>127</v>
      </c>
      <c r="C17" s="6" t="n">
        <f aca="false">COUNTIFS('Test Corpus'!$C$5:$C$25,"*"&amp;B17&amp;"*")</f>
        <v>1</v>
      </c>
      <c r="D17" s="6" t="n">
        <f aca="false">COUNTIFS('Test Corpus'!$C$5:$C$25,"*"&amp;B17&amp;"*",'Test Corpus'!$J$5:$J$25,"Have")</f>
        <v>0</v>
      </c>
    </row>
    <row r="18" customFormat="false" ht="15" hidden="false" customHeight="true" outlineLevel="0" collapsed="false">
      <c r="A18" s="5" t="s">
        <v>5</v>
      </c>
      <c r="B18" s="6" t="s">
        <v>15</v>
      </c>
      <c r="C18" s="6" t="n">
        <f aca="false">COUNTIFS('Test Corpus'!$D$5:$D$25,"*"&amp;B18&amp;"*")</f>
        <v>6</v>
      </c>
      <c r="D18" s="6" t="n">
        <f aca="false">COUNTIFS('Test Corpus'!$D$5:$D$25,"*"&amp;B18&amp;"*",'Test Corpus'!$J$5:$J$25,"Have")</f>
        <v>1</v>
      </c>
    </row>
    <row r="19" customFormat="false" ht="15" hidden="false" customHeight="true" outlineLevel="0" collapsed="false">
      <c r="A19" s="5" t="s">
        <v>5</v>
      </c>
      <c r="B19" s="6" t="s">
        <v>25</v>
      </c>
      <c r="C19" s="6" t="n">
        <f aca="false">COUNTIFS('Test Corpus'!$D$5:$D$25,"*"&amp;B19&amp;"*")-COUNTIFS('Test Corpus'!$D$5:$D$25,"*IFC4.3"&amp;"*")</f>
        <v>10</v>
      </c>
      <c r="D19" s="6" t="n">
        <f aca="false">COUNTIFS('Test Corpus'!$D$5:$D$25,"*"&amp;B19&amp;"*",'Test Corpus'!$J$5:$J$25,"Have")-COUNTIFS('Test Corpus'!$D$5:$D$25,"*IFC4.3"&amp;"*",'Test Corpus'!$J$5:$J$25,"Have")</f>
        <v>0</v>
      </c>
    </row>
    <row r="20" customFormat="false" ht="15" hidden="false" customHeight="true" outlineLevel="0" collapsed="false">
      <c r="A20" s="5" t="s">
        <v>5</v>
      </c>
      <c r="B20" s="6" t="s">
        <v>95</v>
      </c>
      <c r="C20" s="6" t="n">
        <f aca="false">COUNTIFS('Test Corpus'!$D$5:$D$25,"*"&amp;B20&amp;"*")</f>
        <v>1</v>
      </c>
      <c r="D20" s="6" t="n">
        <f aca="false">COUNTIFS('Test Corpus'!$D$5:$D$25,"*"&amp;B20&amp;"*",'Test Corpus'!$J$5:$J$25,"Have")</f>
        <v>0</v>
      </c>
    </row>
    <row r="21" customFormat="false" ht="15" hidden="false" customHeight="true" outlineLevel="0" collapsed="false">
      <c r="A21" s="5" t="s">
        <v>6</v>
      </c>
      <c r="B21" s="6" t="s">
        <v>16</v>
      </c>
      <c r="C21" s="6" t="n">
        <f aca="false">COUNTIFS('Test Corpus'!$E$5:$E$25,"*"&amp;B21&amp;"*")</f>
        <v>11</v>
      </c>
      <c r="D21" s="6" t="n">
        <f aca="false">COUNTIFS('Test Corpus'!$E$5:$E$25,"*"&amp;B21&amp;"*",'Test Corpus'!$J$5:$J$25,"Have")</f>
        <v>1</v>
      </c>
    </row>
    <row r="22" customFormat="false" ht="15" hidden="false" customHeight="true" outlineLevel="0" collapsed="false">
      <c r="A22" s="5" t="s">
        <v>6</v>
      </c>
      <c r="B22" s="6" t="s">
        <v>41</v>
      </c>
      <c r="C22" s="6" t="n">
        <f aca="false">COUNTIFS('Test Corpus'!$E$5:$E$25,"*"&amp;B22&amp;"*")</f>
        <v>5</v>
      </c>
      <c r="D22" s="6" t="n">
        <f aca="false">COUNTIFS('Test Corpus'!$E$5:$E$25,"*"&amp;B22&amp;"*",'Test Corpus'!$J$5:$J$25,"Have")</f>
        <v>0</v>
      </c>
    </row>
    <row r="23" customFormat="false" ht="15" hidden="false" customHeight="true" outlineLevel="0" collapsed="false">
      <c r="A23" s="5" t="s">
        <v>6</v>
      </c>
      <c r="B23" s="6" t="s">
        <v>53</v>
      </c>
      <c r="C23" s="6" t="n">
        <f aca="false">COUNTIFS('Test Corpus'!$E$5:$E$25,"*"&amp;B23&amp;"*")</f>
        <v>2</v>
      </c>
      <c r="D23" s="6" t="n">
        <f aca="false">COUNTIFS('Test Corpus'!$E$5:$E$25,"*"&amp;B23&amp;"*",'Test Corpus'!$J$5:$J$25,"Have")</f>
        <v>0</v>
      </c>
    </row>
    <row r="24" customFormat="false" ht="15" hidden="false" customHeight="true" outlineLevel="0" collapsed="false">
      <c r="A24" s="5" t="s">
        <v>8</v>
      </c>
      <c r="B24" s="6" t="s">
        <v>86</v>
      </c>
      <c r="C24" s="6" t="n">
        <f aca="false">COUNTIFS('Test Corpus'!$G$5:$G$25,"*"&amp;B24&amp;"*")</f>
        <v>2</v>
      </c>
      <c r="D24" s="6" t="n">
        <f aca="false">COUNTIFS('Test Corpus'!$G$5:$G$25,"*"&amp;B24&amp;"*",'Test Corpus'!$J$5:$J$25,"Have")</f>
        <v>0</v>
      </c>
    </row>
    <row r="26" customFormat="false" ht="15" hidden="false" customHeight="true" outlineLevel="0" collapsed="false">
      <c r="A26" s="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60"/>
  </cols>
  <sheetData>
    <row r="1" customFormat="false" ht="17.2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4" customFormat="false" ht="15" hidden="false" customHeight="true" outlineLevel="0" collapsed="false">
      <c r="A4" s="4" t="s">
        <v>121</v>
      </c>
      <c r="B4" s="4" t="s">
        <v>131</v>
      </c>
      <c r="C4" s="4" t="s">
        <v>132</v>
      </c>
    </row>
    <row r="5" customFormat="false" ht="23.25" hidden="false" customHeight="true" outlineLevel="0" collapsed="false">
      <c r="A5" s="5" t="s">
        <v>4</v>
      </c>
      <c r="B5" s="6" t="s">
        <v>133</v>
      </c>
      <c r="C5" s="6" t="s">
        <v>134</v>
      </c>
    </row>
    <row r="6" customFormat="false" ht="15" hidden="false" customHeight="true" outlineLevel="0" collapsed="false">
      <c r="A6" s="5" t="s">
        <v>5</v>
      </c>
      <c r="B6" s="6" t="s">
        <v>135</v>
      </c>
      <c r="C6" s="6" t="s">
        <v>136</v>
      </c>
    </row>
    <row r="7" customFormat="false" ht="15" hidden="false" customHeight="true" outlineLevel="0" collapsed="false">
      <c r="A7" s="5" t="s">
        <v>137</v>
      </c>
      <c r="B7" s="6" t="s">
        <v>138</v>
      </c>
      <c r="C7" s="6" t="s">
        <v>139</v>
      </c>
    </row>
    <row r="8" customFormat="false" ht="15" hidden="false" customHeight="true" outlineLevel="0" collapsed="false">
      <c r="A8" s="5" t="s">
        <v>6</v>
      </c>
      <c r="B8" s="6" t="s">
        <v>140</v>
      </c>
      <c r="C8" s="6" t="s">
        <v>141</v>
      </c>
    </row>
    <row r="9" customFormat="false" ht="15" hidden="false" customHeight="true" outlineLevel="0" collapsed="false">
      <c r="A9" s="5" t="s">
        <v>7</v>
      </c>
      <c r="B9" s="6" t="s">
        <v>142</v>
      </c>
      <c r="C9" s="6" t="s">
        <v>143</v>
      </c>
    </row>
    <row r="10" customFormat="false" ht="15" hidden="false" customHeight="true" outlineLevel="0" collapsed="false">
      <c r="A10" s="5" t="s">
        <v>144</v>
      </c>
      <c r="B10" s="6" t="s">
        <v>145</v>
      </c>
      <c r="C10" s="6" t="s">
        <v>146</v>
      </c>
    </row>
    <row r="11" customFormat="false" ht="23.25" hidden="false" customHeight="true" outlineLevel="0" collapsed="false">
      <c r="A11" s="5" t="s">
        <v>147</v>
      </c>
      <c r="B11" s="6" t="s">
        <v>148</v>
      </c>
      <c r="C11" s="6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2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150</v>
      </c>
    </row>
    <row r="2" customFormat="false" ht="15" hidden="false" customHeight="true" outlineLevel="0" collapsed="false">
      <c r="A2" s="3" t="s">
        <v>151</v>
      </c>
    </row>
    <row r="4" customFormat="false" ht="15" hidden="false" customHeight="true" outlineLevel="0" collapsed="false">
      <c r="A4" s="4" t="s">
        <v>152</v>
      </c>
      <c r="B4" s="4" t="s">
        <v>153</v>
      </c>
      <c r="C4" s="4" t="s">
        <v>154</v>
      </c>
    </row>
    <row r="5" customFormat="false" ht="15" hidden="false" customHeight="true" outlineLevel="0" collapsed="false">
      <c r="A5" s="5" t="s">
        <v>98</v>
      </c>
      <c r="B5" s="6" t="s">
        <v>155</v>
      </c>
      <c r="C5" s="6" t="s">
        <v>156</v>
      </c>
    </row>
    <row r="6" customFormat="false" ht="23.25" hidden="false" customHeight="true" outlineLevel="0" collapsed="false">
      <c r="A6" s="5" t="s">
        <v>157</v>
      </c>
      <c r="B6" s="6" t="s">
        <v>158</v>
      </c>
      <c r="C6" s="6" t="s">
        <v>159</v>
      </c>
    </row>
    <row r="7" customFormat="false" ht="15" hidden="false" customHeight="true" outlineLevel="0" collapsed="false">
      <c r="A7" s="5" t="s">
        <v>160</v>
      </c>
      <c r="B7" s="6" t="s">
        <v>161</v>
      </c>
      <c r="C7" s="6" t="s">
        <v>162</v>
      </c>
    </row>
    <row r="8" customFormat="false" ht="23.25" hidden="false" customHeight="true" outlineLevel="0" collapsed="false">
      <c r="A8" s="5" t="s">
        <v>163</v>
      </c>
      <c r="B8" s="6" t="s">
        <v>164</v>
      </c>
      <c r="C8" s="6" t="s">
        <v>165</v>
      </c>
    </row>
    <row r="9" customFormat="false" ht="23.25" hidden="false" customHeight="true" outlineLevel="0" collapsed="false">
      <c r="A9" s="5" t="s">
        <v>166</v>
      </c>
      <c r="B9" s="6" t="s">
        <v>167</v>
      </c>
      <c r="C9" s="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2026-10-03T20:15:42Z</dcterms:created>
  <dc:creator>openpyxl</dc:creator>
  <dc:description/>
  <dc:language>en-US</dc:language>
  <cp:lastModifiedBy/>
  <dcterms:modified xsi:type="dcterms:W3CDTF">2026-10-03T20:15:53Z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