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oQ" sheetId="2" state="visible" r:id="rId4"/>
    <sheet name="Register" sheetId="3" state="visible" r:id="rId5"/>
    <sheet name="Openings" sheetId="4" state="visible" r:id="rId6"/>
    <sheet name="Materials" sheetId="5" state="visible" r:id="rId7"/>
    <sheet name="Rooms" sheetId="6" state="visible" r:id="rId8"/>
    <sheet name="QA" sheetId="7" state="visible" r:id="rId9"/>
    <sheet name="Params" sheetId="8" state="visible" r:id="rId10"/>
  </sheets>
  <definedNames>
    <definedName function="false" hidden="true" localSheetId="2" name="_xlnm._FilterDatabase" vbProcedure="false">Register!$A$1:$V$219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<sst xmlns="http://schemas.openxmlformats.org/spreadsheetml/2006/main" count="2846" uniqueCount="921">
  <si>
    <t xml:space="preserve">IFC -&gt; Bill of Quantities</t>
  </si>
  <si>
    <t xml:space="preserve">Source file</t>
  </si>
  <si>
    <t xml:space="preserve">Ifc2x3_Duplex_Architecture.ifc</t>
  </si>
  <si>
    <t xml:space="preserve">Schema</t>
  </si>
  <si>
    <t xml:space="preserve">IFC2X3</t>
  </si>
  <si>
    <t xml:space="preserve">Authoring tool</t>
  </si>
  <si>
    <t xml:space="preserve">Autodesk Revit Architecture 2011</t>
  </si>
  <si>
    <t xml:space="preserve">Units</t>
  </si>
  <si>
    <t xml:space="preserve">Metres / m2 / m3 (from IfcUnitAssignment)</t>
  </si>
  <si>
    <t xml:space="preserve">Storeys</t>
  </si>
  <si>
    <t xml:space="preserve">T/FDN (-1.25), Level 1 (+0.00), Level 2 (+3.10), Roof (+6.00)</t>
  </si>
  <si>
    <t xml:space="preserve">Elements measured</t>
  </si>
  <si>
    <t xml:space="preserve">211 physical elements + 21 spaces</t>
  </si>
  <si>
    <t xml:space="preserve">Pipeline</t>
  </si>
  <si>
    <t xml:space="preserve">1. Extract (extract.py): IFC -&gt; unified.json. Per element: reported quantities, geometry-measured volume/area, type, storey, material layers, host/aggregate links.</t>
  </si>
  <si>
    <t xml:space="preserve">2. Verify (extract.py + overlap.py): every solid re-meshed and measured; reported vs geometric volume compared at 1% tolerance; pairwise solid intersections to catch double counting.</t>
  </si>
  <si>
    <t xml:space="preserve">3. Classify &amp; measure (classify.py): rule table maps class + type (+ storey) to a BoQ item key; adopts a quantity per element with a stated source.</t>
  </si>
  <si>
    <t xml:space="preserve">4. Present (build_boq.py): this workbook. BoQ lines are SUMIFS over the Register, so keys, parameters and the naming dictionary can be edited live.</t>
  </si>
  <si>
    <t xml:space="preserve">Sheets</t>
  </si>
  <si>
    <t xml:space="preserve">BoQ - priced-bill layout, rates column blank.  Register - one row per element, with the reasoning behind each number.  Openings - door/window schedule with host walls.</t>
  </si>
  <si>
    <t xml:space="preserve">Materials - layer-by-layer take-off + editable naming dictionary.  Rooms - space schedule and NIA.  QA - findings and decisions.  Params - editable rule parameters.</t>
  </si>
  <si>
    <t xml:space="preserve">Colour legend</t>
  </si>
  <si>
    <t xml:space="preserve">Yellow fill + blue text = input you can edit (rates, parameters, NIA flags, material names). Black = formula or extracted value.</t>
  </si>
  <si>
    <t xml:space="preserve">Register flags</t>
  </si>
  <si>
    <t xml:space="preserve">Resolved (green) = discrepancy found and explained. Minor (orange) = small known deviation, handled by a different measure. Check (red) = needs a human.</t>
  </si>
  <si>
    <t xml:space="preserve">Bill of Quantities - Ifc2x3_Duplex_Architecture.ifc</t>
  </si>
  <si>
    <t xml:space="preserve">Elemental grouping modelled on NRM1. Quantities are live formulas over the Register. Enter rates in the yellow column.</t>
  </si>
  <si>
    <t xml:space="preserve">Ref</t>
  </si>
  <si>
    <t xml:space="preserve">Description</t>
  </si>
  <si>
    <t xml:space="preserve">Unit</t>
  </si>
  <si>
    <t xml:space="preserve">Quantity</t>
  </si>
  <si>
    <t xml:space="preserve">Rate</t>
  </si>
  <si>
    <t xml:space="preserve">Amount</t>
  </si>
  <si>
    <t xml:space="preserve">Measurement basis / source</t>
  </si>
  <si>
    <t xml:space="preserve">1</t>
  </si>
  <si>
    <t xml:space="preserve">SUBSTRUCTURE</t>
  </si>
  <si>
    <t xml:space="preserve">1.01</t>
  </si>
  <si>
    <t xml:space="preserve">In-situ concrete strip footings, 900 x 300 mm</t>
  </si>
  <si>
    <t xml:space="preserve">m3</t>
  </si>
  <si>
    <t xml:space="preserve">Reported (Revit) volume, geometry-verified; material assumed concrete (none in IFC)</t>
  </si>
  <si>
    <t xml:space="preserve">1.02</t>
  </si>
  <si>
    <t xml:space="preserve">Formwork to vertical sides of strip footings (derived: 2 x length x depth)</t>
  </si>
  <si>
    <t xml:space="preserve">m2</t>
  </si>
  <si>
    <t xml:space="preserve">Derived from reported footing length</t>
  </si>
  <si>
    <t xml:space="preserve">1.03</t>
  </si>
  <si>
    <t xml:space="preserve">In-situ concrete foundation walls, 417 mm thick</t>
  </si>
  <si>
    <t xml:space="preserve">Reported (Revit) volume, geometry-verified</t>
  </si>
  <si>
    <t xml:space="preserve">1.04</t>
  </si>
  <si>
    <t xml:space="preserve">In-situ concrete foundation walls, 435 mm thick</t>
  </si>
  <si>
    <t xml:space="preserve">1.05</t>
  </si>
  <si>
    <t xml:space="preserve">Formwork to both faces of foundation walls (derived: 2 x net area)</t>
  </si>
  <si>
    <t xml:space="preserve">Derived from adopted wall area</t>
  </si>
  <si>
    <t xml:space="preserve">1.06</t>
  </si>
  <si>
    <t xml:space="preserve">In-situ concrete ground-bearing slab, 127 mm thick</t>
  </si>
  <si>
    <t xml:space="preserve">1.07</t>
  </si>
  <si>
    <t xml:space="preserve">Ground-bearing slab 127 mm - surface area (for DPM, mesh, power-floating)</t>
  </si>
  <si>
    <t xml:space="preserve">Reported area</t>
  </si>
  <si>
    <t xml:space="preserve">1.08</t>
  </si>
  <si>
    <t xml:space="preserve">Edge formwork to ground slab, 127 mm high (derived: perimeter x thickness)</t>
  </si>
  <si>
    <t xml:space="preserve">Derived from reported perimeter</t>
  </si>
  <si>
    <t xml:space="preserve">Subtotal Substructure</t>
  </si>
  <si>
    <t xml:space="preserve">2.1</t>
  </si>
  <si>
    <t xml:space="preserve">FRAME</t>
  </si>
  <si>
    <t xml:space="preserve">2.1.1</t>
  </si>
  <si>
    <t xml:space="preserve">Structural steel beam W310x60, grade 345 MPa</t>
  </si>
  <si>
    <t xml:space="preserve">t</t>
  </si>
  <si>
    <t xml:space="preserve">Reported length x nominal 60 kg/m (volume x density in Register as check)</t>
  </si>
  <si>
    <t xml:space="preserve">2.1.2</t>
  </si>
  <si>
    <t xml:space="preserve">Structural steel beam W410x60, grade 345 MPa</t>
  </si>
  <si>
    <t xml:space="preserve">Reported length x nominal 60 kg/m</t>
  </si>
  <si>
    <t xml:space="preserve">Subtotal Frame</t>
  </si>
  <si>
    <t xml:space="preserve">2.2</t>
  </si>
  <si>
    <t xml:space="preserve">UPPER FLOORS</t>
  </si>
  <si>
    <t xml:space="preserve">2.2.1</t>
  </si>
  <si>
    <t xml:space="preserve">Timber joist floor: 286 mm dimensional lumber joists, 19 mm plywood subfloor (305 mm overall)</t>
  </si>
  <si>
    <t xml:space="preserve">Reported area, V/t-consistent</t>
  </si>
  <si>
    <t xml:space="preserve">Subtotal Upper Floors</t>
  </si>
  <si>
    <t xml:space="preserve">2.3</t>
  </si>
  <si>
    <t xml:space="preserve">ROOF</t>
  </si>
  <si>
    <t xml:space="preserve">2.3.1</t>
  </si>
  <si>
    <t xml:space="preserve">Flat live (green) roof: 64 mm growing medium, root barrier, EPDM membrane, 76 mm rigid insulation, 19 mm plywood, 286 mm timber joists (457 mm)</t>
  </si>
  <si>
    <t xml:space="preserve">Reported area on IfcRoof; geometry from child slab</t>
  </si>
  <si>
    <t xml:space="preserve">2.3.2</t>
  </si>
  <si>
    <t xml:space="preserve">Roof light, 1180 x 1170 mm</t>
  </si>
  <si>
    <t xml:space="preserve">nr</t>
  </si>
  <si>
    <t xml:space="preserve">Count</t>
  </si>
  <si>
    <t xml:space="preserve">Subtotal Roof</t>
  </si>
  <si>
    <t xml:space="preserve">2.4</t>
  </si>
  <si>
    <t xml:space="preserve">STAIRS AND RAMPS</t>
  </si>
  <si>
    <t xml:space="preserve">2.4.1</t>
  </si>
  <si>
    <t xml:space="preserve">Straight-flight stair, 16 risers @ 193.75 mm, 250 mm going, 1000 mm wide, Level 1 to Level 2 (material not defined in model)</t>
  </si>
  <si>
    <t xml:space="preserve">Count; geometry and riser data from Pset_StairFlightCommon</t>
  </si>
  <si>
    <t xml:space="preserve">2.4.2</t>
  </si>
  <si>
    <t xml:space="preserve">Handrail, 900 mm high</t>
  </si>
  <si>
    <t xml:space="preserve">m</t>
  </si>
  <si>
    <t xml:space="preserve">Reported length</t>
  </si>
  <si>
    <t xml:space="preserve">2.4.3</t>
  </si>
  <si>
    <t xml:space="preserve">Guard rail, 1100 mm high</t>
  </si>
  <si>
    <t xml:space="preserve">Subtotal Stairs And Ramps</t>
  </si>
  <si>
    <t xml:space="preserve">2.5</t>
  </si>
  <si>
    <t xml:space="preserve">EXTERNAL WALLS</t>
  </si>
  <si>
    <t xml:space="preserve">2.5.1</t>
  </si>
  <si>
    <t xml:space="preserve">Cavity wall: 92 mm brick, 25 mm cavity, 50 mm rigid insulation, 193 mm concrete block, 41 mm metal stud, 16 mm plasterboard (417 mm)</t>
  </si>
  <si>
    <t xml:space="preserve">Net area = volume / layer-set thickness (all openings deducted), + add-back of openings &lt;= threshold (Params)</t>
  </si>
  <si>
    <t xml:space="preserve">2.5.2</t>
  </si>
  <si>
    <t xml:space="preserve">Ditto, parapet above roof level</t>
  </si>
  <si>
    <t xml:space="preserve">Subtotal External Walls</t>
  </si>
  <si>
    <t xml:space="preserve">2.6</t>
  </si>
  <si>
    <t xml:space="preserve">WINDOWS AND EXTERNAL DOORS</t>
  </si>
  <si>
    <t xml:space="preserve">2.6.1</t>
  </si>
  <si>
    <t xml:space="preserve">Fixed window, 4835 x 2420 mm</t>
  </si>
  <si>
    <t xml:space="preserve">2.6.2</t>
  </si>
  <si>
    <t xml:space="preserve">Fixed window, 2800 x 2410 mm</t>
  </si>
  <si>
    <t xml:space="preserve">2.6.3</t>
  </si>
  <si>
    <t xml:space="preserve">Fixed window, 750 x 2200 mm</t>
  </si>
  <si>
    <t xml:space="preserve">2.6.4</t>
  </si>
  <si>
    <t xml:space="preserve">Fixed window, 819 x 759 mm</t>
  </si>
  <si>
    <t xml:space="preserve">2.6.5</t>
  </si>
  <si>
    <t xml:space="preserve">Casement window, 819 x 759 mm</t>
  </si>
  <si>
    <t xml:space="preserve">2.6.6</t>
  </si>
  <si>
    <t xml:space="preserve">External door, single flush, 1250 x 2010 mm</t>
  </si>
  <si>
    <t xml:space="preserve">2.6.7</t>
  </si>
  <si>
    <t xml:space="preserve">External door, single glazed, 813 x 2420 mm</t>
  </si>
  <si>
    <t xml:space="preserve">Subtotal Windows And External Doors</t>
  </si>
  <si>
    <t xml:space="preserve">2.7</t>
  </si>
  <si>
    <t xml:space="preserve">INTERNAL WALLS AND PARTITIONS</t>
  </si>
  <si>
    <t xml:space="preserve">2.7.1</t>
  </si>
  <si>
    <t xml:space="preserve">Party wall: 2 x 193 mm concrete block, 50 mm cavity, 41 mm metal stud + 16 mm plasterboard each side (550 mm)</t>
  </si>
  <si>
    <t xml:space="preserve">Net area = volume / layer-set thickness (all openings deducted), + add-back of openings &lt;= threshold (Params); see QA (junction overlap, surface-model repair)</t>
  </si>
  <si>
    <t xml:space="preserve">2.7.2</t>
  </si>
  <si>
    <t xml:space="preserve">Partition: 92 mm metal stud, 16 mm plasterboard both sides (124 mm)</t>
  </si>
  <si>
    <t xml:space="preserve">2.7.3</t>
  </si>
  <si>
    <t xml:space="preserve">Plumbing wall: 152 mm metal stud, 16 mm plasterboard both sides (184 mm)</t>
  </si>
  <si>
    <t xml:space="preserve">2.7.4</t>
  </si>
  <si>
    <t xml:space="preserve">Wall lining: 136 mm metal stud furring, 16 mm plasterboard one side (152 mm)</t>
  </si>
  <si>
    <t xml:space="preserve">2.7.5</t>
  </si>
  <si>
    <t xml:space="preserve">Wall lining: 38 mm metal stud furring, 16 mm plasterboard one side (54 mm)</t>
  </si>
  <si>
    <t xml:space="preserve">Subtotal Internal Walls And Partitions</t>
  </si>
  <si>
    <t xml:space="preserve">2.8</t>
  </si>
  <si>
    <t xml:space="preserve">INTERNAL DOORS</t>
  </si>
  <si>
    <t xml:space="preserve">2.8.1</t>
  </si>
  <si>
    <t xml:space="preserve">Internal door, single flush, 762 x 2032 mm</t>
  </si>
  <si>
    <t xml:space="preserve">2.8.2</t>
  </si>
  <si>
    <t xml:space="preserve">Internal door, single flush, 864 x 2032 mm</t>
  </si>
  <si>
    <t xml:space="preserve">Subtotal Internal Doors</t>
  </si>
  <si>
    <t xml:space="preserve">3.1</t>
  </si>
  <si>
    <t xml:space="preserve">WALL FINISHES</t>
  </si>
  <si>
    <t xml:space="preserve">3.1.1</t>
  </si>
  <si>
    <t xml:space="preserve">Emulsion paint to plasterboard wall surfaces (derived: sum of plasterboard layer faces on walls)</t>
  </si>
  <si>
    <t xml:space="preserve">Derived from material layers</t>
  </si>
  <si>
    <t xml:space="preserve">Subtotal Wall Finishes</t>
  </si>
  <si>
    <t xml:space="preserve">3.2</t>
  </si>
  <si>
    <t xml:space="preserve">FLOOR FINISHES</t>
  </si>
  <si>
    <t xml:space="preserve">3.2.1</t>
  </si>
  <si>
    <t xml:space="preserve">Timber floor finish: 16 mm wood flooring on 3 mm underlay</t>
  </si>
  <si>
    <t xml:space="preserve">3.2.2</t>
  </si>
  <si>
    <t xml:space="preserve">Ceramic floor tiling: 10 mm tile on 3 mm bed/grout</t>
  </si>
  <si>
    <t xml:space="preserve">Subtotal Floor Finishes</t>
  </si>
  <si>
    <t xml:space="preserve">3.3</t>
  </si>
  <si>
    <t xml:space="preserve">CEILING FINISHES</t>
  </si>
  <si>
    <t xml:space="preserve">3.3.1</t>
  </si>
  <si>
    <t xml:space="preserve">Suspended ceiling: 12 mm plasterboard on 45 mm metal studs</t>
  </si>
  <si>
    <t xml:space="preserve">Reported area; ~3.2 m2 possible double-modelling (QA)</t>
  </si>
  <si>
    <t xml:space="preserve">3.3.2</t>
  </si>
  <si>
    <t xml:space="preserve">Emulsion paint to plasterboard ceilings (derived)</t>
  </si>
  <si>
    <t xml:space="preserve">Derived = 3.3.1</t>
  </si>
  <si>
    <t xml:space="preserve">Subtotal Ceiling Finishes</t>
  </si>
  <si>
    <t xml:space="preserve">4</t>
  </si>
  <si>
    <t xml:space="preserve">FITTINGS, FURNISHINGS AND EQUIPMENT</t>
  </si>
  <si>
    <t xml:space="preserve">4.1.1</t>
  </si>
  <si>
    <t xml:space="preserve">Kitchen base cabinet, double door + 2 drawers, 1000 mm</t>
  </si>
  <si>
    <t xml:space="preserve">4.1.2</t>
  </si>
  <si>
    <t xml:space="preserve">Kitchen wall cabinet, double door, 1000 mm</t>
  </si>
  <si>
    <t xml:space="preserve">Count (two Revit type names merged)</t>
  </si>
  <si>
    <t xml:space="preserve">4.1.3</t>
  </si>
  <si>
    <t xml:space="preserve">Tall cabinet, single door, 800 mm</t>
  </si>
  <si>
    <t xml:space="preserve">4.1.4</t>
  </si>
  <si>
    <t xml:space="preserve">Worktop with sink cut-out, 600 mm deep</t>
  </si>
  <si>
    <t xml:space="preserve">Count (length not exported)</t>
  </si>
  <si>
    <t xml:space="preserve">4.1.5</t>
  </si>
  <si>
    <t xml:space="preserve">Worktop, 600 mm deep</t>
  </si>
  <si>
    <t xml:space="preserve">4.1.6</t>
  </si>
  <si>
    <t xml:space="preserve">Vanity unit with basin, 450 x 450 mm</t>
  </si>
  <si>
    <t xml:space="preserve">4.1.7</t>
  </si>
  <si>
    <t xml:space="preserve">Vanity unit with basin, 650 x 450 mm</t>
  </si>
  <si>
    <t xml:space="preserve">4.2.1</t>
  </si>
  <si>
    <t xml:space="preserve">Loose furniture (FF&amp;E, for information): queen bed 1525 x 2007</t>
  </si>
  <si>
    <t xml:space="preserve">Count - normally client-supplied</t>
  </si>
  <si>
    <t xml:space="preserve">4.2.2</t>
  </si>
  <si>
    <t xml:space="preserve">Loose furniture (FF&amp;E): king bed 1981 x 2032</t>
  </si>
  <si>
    <t xml:space="preserve">4.2.3</t>
  </si>
  <si>
    <t xml:space="preserve">Loose furniture (FF&amp;E): sofa 1830</t>
  </si>
  <si>
    <t xml:space="preserve">4.2.4</t>
  </si>
  <si>
    <t xml:space="preserve">Loose furniture (FF&amp;E): coffee table 610 x 610</t>
  </si>
  <si>
    <t xml:space="preserve">4.2.5</t>
  </si>
  <si>
    <t xml:space="preserve">Loose furniture (FF&amp;E): coffee table 915 x 1830</t>
  </si>
  <si>
    <t xml:space="preserve">Subtotal Fittings, Furnishings And Equipment</t>
  </si>
  <si>
    <t xml:space="preserve">8</t>
  </si>
  <si>
    <t xml:space="preserve">EXTERNAL WORKS</t>
  </si>
  <si>
    <t xml:space="preserve">8.1</t>
  </si>
  <si>
    <t xml:space="preserve">In-situ concrete external slab on grade, 150 mm thick</t>
  </si>
  <si>
    <t xml:space="preserve">8.2</t>
  </si>
  <si>
    <t xml:space="preserve">External slab 150 mm - surface area</t>
  </si>
  <si>
    <t xml:space="preserve">8.3</t>
  </si>
  <si>
    <t xml:space="preserve">Edge formwork to external slab, 150 mm high (derived)</t>
  </si>
  <si>
    <t xml:space="preserve">Subtotal External Works</t>
  </si>
  <si>
    <t xml:space="preserve">TOTAL</t>
  </si>
  <si>
    <t xml:space="preserve">Excluded / not in model: MEP, reinforcement, skirtings, sills, ironmongery, sitework beyond the two external slabs.</t>
  </si>
  <si>
    <t xml:space="preserve">GUID</t>
  </si>
  <si>
    <t xml:space="preserve">IFC class</t>
  </si>
  <si>
    <t xml:space="preserve">Family</t>
  </si>
  <si>
    <t xml:space="preserve">Type</t>
  </si>
  <si>
    <t xml:space="preserve">Storey</t>
  </si>
  <si>
    <t xml:space="preserve">BoQ key</t>
  </si>
  <si>
    <t xml:space="preserve">Length (m)</t>
  </si>
  <si>
    <t xml:space="preserve">Area adopted (m2)</t>
  </si>
  <si>
    <t xml:space="preserve">Volume adopted (m3)</t>
  </si>
  <si>
    <t xml:space="preserve">Perimeter (m)</t>
  </si>
  <si>
    <t xml:space="preserve">Layer-set thickness (mm)</t>
  </si>
  <si>
    <t xml:space="preserve">Nominal mass (kg/m)</t>
  </si>
  <si>
    <t xml:space="preserve">Mass (kg)</t>
  </si>
  <si>
    <t xml:space="preserve">Mass check: vol x density (kg)</t>
  </si>
  <si>
    <t xml:space="preserve">Reported area (m2)</t>
  </si>
  <si>
    <t xml:space="preserve">Reported volume (m3)</t>
  </si>
  <si>
    <t xml:space="preserve">Geometric volume (m3)</t>
  </si>
  <si>
    <t xml:space="preserve">Geom vs reported</t>
  </si>
  <si>
    <t xml:space="preserve">Quantity source / reasoning</t>
  </si>
  <si>
    <t xml:space="preserve">Flag</t>
  </si>
  <si>
    <t xml:space="preserve">Revit Id</t>
  </si>
  <si>
    <t xml:space="preserve">0kF45Qs8L9PAM9kmb1lT5d</t>
  </si>
  <si>
    <t xml:space="preserve">IfcFooting</t>
  </si>
  <si>
    <t xml:space="preserve">Wall Foundation</t>
  </si>
  <si>
    <t xml:space="preserve">Bearing Footing - 900 x 300</t>
  </si>
  <si>
    <t xml:space="preserve">T/FDN</t>
  </si>
  <si>
    <t xml:space="preserve">Reported (Revit), geometry-verified; no material assigned in IFC - concrete assumed from type name</t>
  </si>
  <si>
    <t xml:space="preserve">186596</t>
  </si>
  <si>
    <t xml:space="preserve">0kF45Qs8L9PAM9kmb1lT5l</t>
  </si>
  <si>
    <t xml:space="preserve">186604</t>
  </si>
  <si>
    <t xml:space="preserve">0kF45Qs8L9PAM9kmb1lT5t</t>
  </si>
  <si>
    <t xml:space="preserve">186612</t>
  </si>
  <si>
    <t xml:space="preserve">0kF45Qs8L9PAM9kmb1lT5$</t>
  </si>
  <si>
    <t xml:space="preserve">186620</t>
  </si>
  <si>
    <t xml:space="preserve">0kF45Qs8L9PAM9kmb1lT2B</t>
  </si>
  <si>
    <t xml:space="preserve">186632</t>
  </si>
  <si>
    <t xml:space="preserve">0kF45Qs8L9PAM9kmb1lT2N</t>
  </si>
  <si>
    <t xml:space="preserve">186644</t>
  </si>
  <si>
    <t xml:space="preserve">0kF45Qs8L9PAM9kmb1lT2Z</t>
  </si>
  <si>
    <t xml:space="preserve">186656</t>
  </si>
  <si>
    <t xml:space="preserve">2O2Fr$t4X7Zf8NOew3FK80</t>
  </si>
  <si>
    <t xml:space="preserve">IfcWallStandardCase</t>
  </si>
  <si>
    <t xml:space="preserve">Basic Wall</t>
  </si>
  <si>
    <t xml:space="preserve">Foundation - Concrete (417mm)</t>
  </si>
  <si>
    <t xml:space="preserve">Reported (Revit), geometry-verified</t>
  </si>
  <si>
    <t xml:space="preserve">140479</t>
  </si>
  <si>
    <t xml:space="preserve">2O2Fr$t4X7Zf8NOew3FK9N</t>
  </si>
  <si>
    <t xml:space="preserve">140520</t>
  </si>
  <si>
    <t xml:space="preserve">2O2Fr$t4X7Zf8NOew3FKEr</t>
  </si>
  <si>
    <t xml:space="preserve">140554</t>
  </si>
  <si>
    <t xml:space="preserve">2O2Fr$t4X7Zf8NOew3FKE5</t>
  </si>
  <si>
    <t xml:space="preserve">140602</t>
  </si>
  <si>
    <t xml:space="preserve">2O2Fr$t4X7Zf8NOew3FK3E</t>
  </si>
  <si>
    <t xml:space="preserve">Foundation - Concrete (435mm)</t>
  </si>
  <si>
    <t xml:space="preserve">140913</t>
  </si>
  <si>
    <t xml:space="preserve">2O2Fr$t4X7Zf8NOew3FK04</t>
  </si>
  <si>
    <t xml:space="preserve">140987</t>
  </si>
  <si>
    <t xml:space="preserve">2O2Fr$t4X7Zf8NOew3FK1b</t>
  </si>
  <si>
    <t xml:space="preserve">141018</t>
  </si>
  <si>
    <t xml:space="preserve">2O2Fr$t4X7Zf8NOew3FK4F</t>
  </si>
  <si>
    <t xml:space="preserve">IfcSlab</t>
  </si>
  <si>
    <t xml:space="preserve">Floor</t>
  </si>
  <si>
    <t xml:space="preserve">127mm Slab on Grade</t>
  </si>
  <si>
    <t xml:space="preserve">Level 1</t>
  </si>
  <si>
    <t xml:space="preserve">141232</t>
  </si>
  <si>
    <t xml:space="preserve">2O2Fr$t4X7Zf8NOew3FKcz</t>
  </si>
  <si>
    <t xml:space="preserve">143106</t>
  </si>
  <si>
    <t xml:space="preserve">2OrWItJ6zAwBNp0OUxK_l8</t>
  </si>
  <si>
    <t xml:space="preserve">IfcBeam</t>
  </si>
  <si>
    <t xml:space="preserve">M_W-Wide Flange</t>
  </si>
  <si>
    <t xml:space="preserve">W310X60</t>
  </si>
  <si>
    <t xml:space="preserve">Reported (Revit); geometry +4.7% - steel measured by nominal mass instead</t>
  </si>
  <si>
    <t xml:space="preserve">Minor</t>
  </si>
  <si>
    <t xml:space="preserve">207325</t>
  </si>
  <si>
    <t xml:space="preserve">2OrWItJ6zAwBNp0OUxK$Dv</t>
  </si>
  <si>
    <t xml:space="preserve">209260</t>
  </si>
  <si>
    <t xml:space="preserve">2OrWItJ6zAwBNp0OUxK$8W</t>
  </si>
  <si>
    <t xml:space="preserve">W410X60</t>
  </si>
  <si>
    <t xml:space="preserve">Reported (Revit); geometry +3.5% - steel measured by nominal mass instead</t>
  </si>
  <si>
    <t xml:space="preserve">208949</t>
  </si>
  <si>
    <t xml:space="preserve">2OrWItJ6zAwBNp0OUxK$Du</t>
  </si>
  <si>
    <t xml:space="preserve">209261</t>
  </si>
  <si>
    <t xml:space="preserve">2OrWItJ6zAwBNp0OUxK$Bq</t>
  </si>
  <si>
    <t xml:space="preserve">Level 2</t>
  </si>
  <si>
    <t xml:space="preserve">209121</t>
  </si>
  <si>
    <t xml:space="preserve">2OrWItJ6zAwBNp0OUxK$CR</t>
  </si>
  <si>
    <t xml:space="preserve">209166</t>
  </si>
  <si>
    <t xml:space="preserve">2OrWItJ6zAwBNp0OUxK$Dx</t>
  </si>
  <si>
    <t xml:space="preserve">209262</t>
  </si>
  <si>
    <t xml:space="preserve">2OrWItJ6zAwBNp0OUxK$Dw</t>
  </si>
  <si>
    <t xml:space="preserve">209263</t>
  </si>
  <si>
    <t xml:space="preserve">1hOSvn6df7F8_7GcBWlRqU</t>
  </si>
  <si>
    <t xml:space="preserve">Residential - Wood Joist with Subflooring</t>
  </si>
  <si>
    <t xml:space="preserve">144800</t>
  </si>
  <si>
    <t xml:space="preserve">1hOSvn6df7F8_7GcBWlRrM</t>
  </si>
  <si>
    <t xml:space="preserve">144872</t>
  </si>
  <si>
    <t xml:space="preserve">0jf0rYHfX3RAB3bSIRjmxl</t>
  </si>
  <si>
    <t xml:space="preserve">IfcRoof</t>
  </si>
  <si>
    <t xml:space="preserve">Basic Roof</t>
  </si>
  <si>
    <t xml:space="preserve">Live Roof over Wood Joist Flat Roof</t>
  </si>
  <si>
    <t xml:space="preserve">Roof</t>
  </si>
  <si>
    <t xml:space="preserve">Reported (Revit), geometry-verified; mesh had inconsistent face winding (repaired before measuring)</t>
  </si>
  <si>
    <t xml:space="preserve">184483</t>
  </si>
  <si>
    <t xml:space="preserve">1Eo2$BaHX42AEkDvQQDocD</t>
  </si>
  <si>
    <t xml:space="preserve">IfcWindow</t>
  </si>
  <si>
    <t xml:space="preserve">M_Skylight</t>
  </si>
  <si>
    <t xml:space="preserve">1180 x 1170mm</t>
  </si>
  <si>
    <t xml:space="preserve">185337</t>
  </si>
  <si>
    <t xml:space="preserve">1Eo2$BaHX42AEkDvQQDoy2</t>
  </si>
  <si>
    <t xml:space="preserve">185718</t>
  </si>
  <si>
    <t xml:space="preserve">0wkEuT1wr1kOyafLY4v_O1</t>
  </si>
  <si>
    <t xml:space="preserve">IfcStair</t>
  </si>
  <si>
    <t xml:space="preserve">Stair</t>
  </si>
  <si>
    <t xml:space="preserve">Residential - 200mm Max Riser 250mm Tread</t>
  </si>
  <si>
    <t xml:space="preserve">Geometry (sum of child solids: flight, stringers, rails) - for information; no reported quantities</t>
  </si>
  <si>
    <t xml:space="preserve">151086</t>
  </si>
  <si>
    <t xml:space="preserve">21ldoMpbP4VfsJ0XGY_34d</t>
  </si>
  <si>
    <t xml:space="preserve">198878</t>
  </si>
  <si>
    <t xml:space="preserve">0wkEuT1wr1kOyafLY4v_PL</t>
  </si>
  <si>
    <t xml:space="preserve">IfcRailing</t>
  </si>
  <si>
    <t xml:space="preserve">Railing</t>
  </si>
  <si>
    <t xml:space="preserve">900mm Handrail Only</t>
  </si>
  <si>
    <t xml:space="preserve">Reported length (Revit)</t>
  </si>
  <si>
    <t xml:space="preserve">151162</t>
  </si>
  <si>
    <t xml:space="preserve">21ldoMpbP4VfsJ0XGY_34P</t>
  </si>
  <si>
    <t xml:space="preserve">198880</t>
  </si>
  <si>
    <t xml:space="preserve">0wkEuT1wr1kOyafLY4v_PH</t>
  </si>
  <si>
    <t xml:space="preserve">1100mm Guard Rail</t>
  </si>
  <si>
    <t xml:space="preserve">151166</t>
  </si>
  <si>
    <t xml:space="preserve">21ldoMpbP4VfsJ0XGY_335</t>
  </si>
  <si>
    <t xml:space="preserve">198972</t>
  </si>
  <si>
    <t xml:space="preserve">2O2Fr$t4X7Zf8NOew3FNtn</t>
  </si>
  <si>
    <t xml:space="preserve">Exterior - Brick on Block</t>
  </si>
  <si>
    <t xml:space="preserve">138062</t>
  </si>
  <si>
    <t xml:space="preserve">2O2Fr$t4X7Zf8NOew3FNqI</t>
  </si>
  <si>
    <t xml:space="preserve">138157</t>
  </si>
  <si>
    <t xml:space="preserve">2O2Fr$t4X7Zf8NOew3FNr2</t>
  </si>
  <si>
    <t xml:space="preserve">138237</t>
  </si>
  <si>
    <t xml:space="preserve">2O2Fr$t4X7Zf8NOew3FNhv</t>
  </si>
  <si>
    <t xml:space="preserve">138310</t>
  </si>
  <si>
    <t xml:space="preserve">2O2Fr$t4X7Zf8NOew3FLQD</t>
  </si>
  <si>
    <t xml:space="preserve">Reported (Revit), geometry-verified; Revit Area (16.91) inconsistent with Volume/thickness (15.70) - V/t adopted</t>
  </si>
  <si>
    <t xml:space="preserve">Resolved</t>
  </si>
  <si>
    <t xml:space="preserve">143410</t>
  </si>
  <si>
    <t xml:space="preserve">2O2Fr$t4X7Zf8NOew3FLR9</t>
  </si>
  <si>
    <t xml:space="preserve">Reported (Revit), geometry-verified; Revit Area (41.36) inconsistent with Volume/thickness (40.15) - V/t adopted</t>
  </si>
  <si>
    <t xml:space="preserve">143478</t>
  </si>
  <si>
    <t xml:space="preserve">2O2Fr$t4X7Zf8NOew3FLOH</t>
  </si>
  <si>
    <t xml:space="preserve">143534</t>
  </si>
  <si>
    <t xml:space="preserve">2O2Fr$t4X7Zf8NOew3FLPP</t>
  </si>
  <si>
    <t xml:space="preserve">143590</t>
  </si>
  <si>
    <t xml:space="preserve">0jf0rYHfX3RAB3bSIRjmmy</t>
  </si>
  <si>
    <t xml:space="preserve">184944</t>
  </si>
  <si>
    <t xml:space="preserve">0jf0rYHfX3RAB3bSIRjmpw</t>
  </si>
  <si>
    <t xml:space="preserve">185014</t>
  </si>
  <si>
    <t xml:space="preserve">0jf0rYHfX3RAB3bSIRjmoa</t>
  </si>
  <si>
    <t xml:space="preserve">185064</t>
  </si>
  <si>
    <t xml:space="preserve">0jf0rYHfX3RAB3bSIRjmr1</t>
  </si>
  <si>
    <t xml:space="preserve">185101</t>
  </si>
  <si>
    <t xml:space="preserve">1hOSvn6df7F8_7GcBWlR72</t>
  </si>
  <si>
    <t xml:space="preserve">M_Fixed</t>
  </si>
  <si>
    <t xml:space="preserve">4835mm x 2420mm</t>
  </si>
  <si>
    <t xml:space="preserve">145788</t>
  </si>
  <si>
    <t xml:space="preserve">1hOSvn6df7F8_7GcBWlRBU</t>
  </si>
  <si>
    <t xml:space="preserve">146016</t>
  </si>
  <si>
    <t xml:space="preserve">1hOSvn6df7F8_7GcBWlSXO</t>
  </si>
  <si>
    <t xml:space="preserve">2800mm x 2410mm</t>
  </si>
  <si>
    <t xml:space="preserve">147686</t>
  </si>
  <si>
    <t xml:space="preserve">1hOSvn6df7F8_7GcBWlS_W</t>
  </si>
  <si>
    <t xml:space="preserve">149278</t>
  </si>
  <si>
    <t xml:space="preserve">1l0GAJtRTFv8$zmKJOH4$e</t>
  </si>
  <si>
    <t xml:space="preserve">180318</t>
  </si>
  <si>
    <t xml:space="preserve">1l0GAJtRTFv8$zmKJOH4pU</t>
  </si>
  <si>
    <t xml:space="preserve">181096</t>
  </si>
  <si>
    <t xml:space="preserve">1hOSvn6df7F8_7GcBWlRLx</t>
  </si>
  <si>
    <t xml:space="preserve">750mm x 2200mm</t>
  </si>
  <si>
    <t xml:space="preserve">146885</t>
  </si>
  <si>
    <t xml:space="preserve">1hOSvn6df7F8_7GcBWlRRL</t>
  </si>
  <si>
    <t xml:space="preserve">147051</t>
  </si>
  <si>
    <t xml:space="preserve">1l0GAJtRTFv8$zmKJOH4aS</t>
  </si>
  <si>
    <t xml:space="preserve">181930</t>
  </si>
  <si>
    <t xml:space="preserve">1l0GAJtRTFv8$zmKJOH4ZZ</t>
  </si>
  <si>
    <t xml:space="preserve">182101</t>
  </si>
  <si>
    <t xml:space="preserve">1hOSvn6df7F8_7GcBWlSga</t>
  </si>
  <si>
    <t xml:space="preserve">819mm x 759mm</t>
  </si>
  <si>
    <t xml:space="preserve">147994</t>
  </si>
  <si>
    <t xml:space="preserve">1hOSvn6df7F8_7GcBWlSnC</t>
  </si>
  <si>
    <t xml:space="preserve">148722</t>
  </si>
  <si>
    <t xml:space="preserve">1hOSvn6df7F8_7GcBWlS2V</t>
  </si>
  <si>
    <t xml:space="preserve">149537</t>
  </si>
  <si>
    <t xml:space="preserve">1hOSvn6df7F8_7GcBWlS4Q</t>
  </si>
  <si>
    <t xml:space="preserve">149924</t>
  </si>
  <si>
    <t xml:space="preserve">1l0GAJtRTFv8$zmKJOH4u1</t>
  </si>
  <si>
    <t xml:space="preserve">180663</t>
  </si>
  <si>
    <t xml:space="preserve">1l0GAJtRTFv8$zmKJOH4qs</t>
  </si>
  <si>
    <t xml:space="preserve">180864</t>
  </si>
  <si>
    <t xml:space="preserve">1l0GAJtRTFv8$zmKJOH4kJ</t>
  </si>
  <si>
    <t xml:space="preserve">181285</t>
  </si>
  <si>
    <t xml:space="preserve">1l0GAJtRTFv8$zmKJOH4hv</t>
  </si>
  <si>
    <t xml:space="preserve">181583</t>
  </si>
  <si>
    <t xml:space="preserve">1hOSvn6df7F8_7GcBWlSp1</t>
  </si>
  <si>
    <t xml:space="preserve">M_Casement</t>
  </si>
  <si>
    <t xml:space="preserve">148607</t>
  </si>
  <si>
    <t xml:space="preserve">1hOSvn6df7F8_7GcBWlS1M</t>
  </si>
  <si>
    <t xml:space="preserve">149736</t>
  </si>
  <si>
    <t xml:space="preserve">1l0GAJtRTFv8$zmKJOH4oq</t>
  </si>
  <si>
    <t xml:space="preserve">180994</t>
  </si>
  <si>
    <t xml:space="preserve">1l0GAJtRTFv8$zmKJOH4gQ</t>
  </si>
  <si>
    <t xml:space="preserve">181548</t>
  </si>
  <si>
    <t xml:space="preserve">1hOSvn6df7F8_7GcBWlRGQ</t>
  </si>
  <si>
    <t xml:space="preserve">IfcDoor</t>
  </si>
  <si>
    <t xml:space="preserve">M_Single-Flush</t>
  </si>
  <si>
    <t xml:space="preserve">1250mm x 2010mm</t>
  </si>
  <si>
    <t xml:space="preserve">146596</t>
  </si>
  <si>
    <t xml:space="preserve">1hOSvn6df7F8_7GcBWlRH8</t>
  </si>
  <si>
    <t xml:space="preserve">146678</t>
  </si>
  <si>
    <t xml:space="preserve">1s1jVhK8z0pgKYcr9jt781</t>
  </si>
  <si>
    <t xml:space="preserve">M_Single-Glass 1</t>
  </si>
  <si>
    <t xml:space="preserve">0813 x 2420mm</t>
  </si>
  <si>
    <t xml:space="preserve">171853</t>
  </si>
  <si>
    <t xml:space="preserve">1s1jVhK8z0pgKYcr9jt7AB</t>
  </si>
  <si>
    <t xml:space="preserve">171975</t>
  </si>
  <si>
    <t xml:space="preserve">2O2Fr$t4X7Zf8NOew3FNbT</t>
  </si>
  <si>
    <t xml:space="preserve">Party Wall - CMU Residential Unit Dimising Wall</t>
  </si>
  <si>
    <t xml:space="preserve">Reported (Revit), geometry-verified; Revit Area (11.74) inconsistent with Volume/thickness (10.52) - V/t adopted</t>
  </si>
  <si>
    <t xml:space="preserve">139234</t>
  </si>
  <si>
    <t xml:space="preserve">2O2Fr$t4X7Zf8NOew3FKRi</t>
  </si>
  <si>
    <t xml:space="preserve">139347</t>
  </si>
  <si>
    <t xml:space="preserve">2O2Fr$t4X7Zf8NOew3FKRH</t>
  </si>
  <si>
    <t xml:space="preserve">Reported (Revit); geometry +42.0% = 0.758 m3 junction overlap with adjacent party walls. Reported value is join-aware -&gt; adopted; no reported Area - V/t used</t>
  </si>
  <si>
    <t xml:space="preserve">139374</t>
  </si>
  <si>
    <t xml:space="preserve">2O2Fr$t4X7Zf8NOew3FKau</t>
  </si>
  <si>
    <t xml:space="preserve">IfcWall</t>
  </si>
  <si>
    <t xml:space="preserve">Reported (Revit), geometry-verified; mesh had inconsistent face winding (repaired before measuring); Revit Area (38.41) inconsistent with Volume/thickness (46.96) - V/t adopted</t>
  </si>
  <si>
    <t xml:space="preserve">143239</t>
  </si>
  <si>
    <t xml:space="preserve">2O2Fr$t4X7Zf8NOew3FNld</t>
  </si>
  <si>
    <t xml:space="preserve">Interior - Partition (92mm Stud)</t>
  </si>
  <si>
    <t xml:space="preserve">138584</t>
  </si>
  <si>
    <t xml:space="preserve">2O2Fr$t4X7Zf8NOew3FNau</t>
  </si>
  <si>
    <t xml:space="preserve">139143</t>
  </si>
  <si>
    <t xml:space="preserve">2O2Fr$t4X7Zf8NOew3FKST</t>
  </si>
  <si>
    <t xml:space="preserve">139682</t>
  </si>
  <si>
    <t xml:space="preserve">2O2Fr$t4X7Zf8NOew3FKIu</t>
  </si>
  <si>
    <t xml:space="preserve">139783</t>
  </si>
  <si>
    <t xml:space="preserve">2O2Fr$t4X7Zf8NOew3FKGS</t>
  </si>
  <si>
    <t xml:space="preserve">139939</t>
  </si>
  <si>
    <t xml:space="preserve">2O2Fr$t4X7Zf8NOew3FLTF</t>
  </si>
  <si>
    <t xml:space="preserve">143856</t>
  </si>
  <si>
    <t xml:space="preserve">2O2Fr$t4X7Zf8NOew3FL8v</t>
  </si>
  <si>
    <t xml:space="preserve">144518</t>
  </si>
  <si>
    <t xml:space="preserve">0iEHWY1$XA8eQeeULq4jpl</t>
  </si>
  <si>
    <t xml:space="preserve">190140</t>
  </si>
  <si>
    <t xml:space="preserve">1aj$VJZFn2TxepZUBcKpee</t>
  </si>
  <si>
    <t xml:space="preserve">204300</t>
  </si>
  <si>
    <t xml:space="preserve">1aj$VJZFn2TxepZUBcKphf</t>
  </si>
  <si>
    <t xml:space="preserve">204493</t>
  </si>
  <si>
    <t xml:space="preserve">2O2Fr$t4X7Zf8NOew3FLIE</t>
  </si>
  <si>
    <t xml:space="preserve">143921</t>
  </si>
  <si>
    <t xml:space="preserve">2O2Fr$t4X7Zf8NOew3FLJd</t>
  </si>
  <si>
    <t xml:space="preserve">143960</t>
  </si>
  <si>
    <t xml:space="preserve">2O2Fr$t4X7Zf8NOew3FLKI</t>
  </si>
  <si>
    <t xml:space="preserve">144301</t>
  </si>
  <si>
    <t xml:space="preserve">2O2Fr$t4X7Zf8NOew3FL9r</t>
  </si>
  <si>
    <t xml:space="preserve">144586</t>
  </si>
  <si>
    <t xml:space="preserve">2O2Fr$t4X7Zf8NOew3FL96</t>
  </si>
  <si>
    <t xml:space="preserve">144633</t>
  </si>
  <si>
    <t xml:space="preserve">2O2Fr$t4X7Zf8NOew3FLEJ</t>
  </si>
  <si>
    <t xml:space="preserve">144684</t>
  </si>
  <si>
    <t xml:space="preserve">1aj$VJZFn2TxepZUBcKpvt</t>
  </si>
  <si>
    <t xml:space="preserve">203347</t>
  </si>
  <si>
    <t xml:space="preserve">1aj$VJZFn2TxepZUBcKpZw</t>
  </si>
  <si>
    <t xml:space="preserve">203998</t>
  </si>
  <si>
    <t xml:space="preserve">2O2Fr$t4X7Zf8NOew3FLMr</t>
  </si>
  <si>
    <t xml:space="preserve">Interior - Plumbing (152mm Stud)</t>
  </si>
  <si>
    <t xml:space="preserve">144138</t>
  </si>
  <si>
    <t xml:space="preserve">2O2Fr$t4X7Zf8NOew3FLCm</t>
  </si>
  <si>
    <t xml:space="preserve">144783</t>
  </si>
  <si>
    <t xml:space="preserve">0iEHWY1$XA8eQeeULq4jZ1</t>
  </si>
  <si>
    <t xml:space="preserve">Interior - Furring (152 mm Stud)</t>
  </si>
  <si>
    <t xml:space="preserve">189074</t>
  </si>
  <si>
    <t xml:space="preserve">0iEHWY1$XA8eQeeULq4j_U</t>
  </si>
  <si>
    <t xml:space="preserve">189901</t>
  </si>
  <si>
    <t xml:space="preserve">0iEHWY1$XA8eQeeULq4jDb</t>
  </si>
  <si>
    <t xml:space="preserve">190774</t>
  </si>
  <si>
    <t xml:space="preserve">0iEHWY1$XA8eQeeULq4jE6</t>
  </si>
  <si>
    <t xml:space="preserve">190933</t>
  </si>
  <si>
    <t xml:space="preserve">0dxE1Sy6nDqfpDb5vIMNiA</t>
  </si>
  <si>
    <t xml:space="preserve">193247</t>
  </si>
  <si>
    <t xml:space="preserve">0dxE1Sy6nDqfpDb5vIMN_Z</t>
  </si>
  <si>
    <t xml:space="preserve">194166</t>
  </si>
  <si>
    <t xml:space="preserve">3Y4YRln2r91vflHcHE5IVS</t>
  </si>
  <si>
    <t xml:space="preserve">Interior - Furring (38 mm Stud)</t>
  </si>
  <si>
    <t xml:space="preserve">217414</t>
  </si>
  <si>
    <t xml:space="preserve">3Y4YRln2r91vflHcHE5IVT</t>
  </si>
  <si>
    <t xml:space="preserve">217415</t>
  </si>
  <si>
    <t xml:space="preserve">3Y4YRln2r91vflHcHE5IVI</t>
  </si>
  <si>
    <t xml:space="preserve">217416</t>
  </si>
  <si>
    <t xml:space="preserve">3Y4YRln2r91vflHcHE5IVJ</t>
  </si>
  <si>
    <t xml:space="preserve">217417</t>
  </si>
  <si>
    <t xml:space="preserve">3Y4YRln2r91vflHcHE5ITp</t>
  </si>
  <si>
    <t xml:space="preserve">217577</t>
  </si>
  <si>
    <t xml:space="preserve">3Y4YRln2r91vflHcHE5ITm</t>
  </si>
  <si>
    <t xml:space="preserve">217578</t>
  </si>
  <si>
    <t xml:space="preserve">3Y4YRln2r91vflHcHE5ITn</t>
  </si>
  <si>
    <t xml:space="preserve">217579</t>
  </si>
  <si>
    <t xml:space="preserve">3Y4YRln2r91vflHcHE5ITs</t>
  </si>
  <si>
    <t xml:space="preserve">217580</t>
  </si>
  <si>
    <t xml:space="preserve">1hOSvn6df7F8_7GcBWlS8Z</t>
  </si>
  <si>
    <t xml:space="preserve">0762 x 2032mm</t>
  </si>
  <si>
    <t xml:space="preserve">150173</t>
  </si>
  <si>
    <t xml:space="preserve">1hOSvn6df7F8_7GcBWlS9F</t>
  </si>
  <si>
    <t xml:space="preserve">150257</t>
  </si>
  <si>
    <t xml:space="preserve">1aj$VJZFn2TxepZUBcKp$i</t>
  </si>
  <si>
    <t xml:space="preserve">203720</t>
  </si>
  <si>
    <t xml:space="preserve">1aj$VJZFn2TxepZUBcKpac</t>
  </si>
  <si>
    <t xml:space="preserve">204034</t>
  </si>
  <si>
    <t xml:space="preserve">1hOSvn6df7F8_7GcBWlSFK</t>
  </si>
  <si>
    <t xml:space="preserve">0864 x 2032mm</t>
  </si>
  <si>
    <t xml:space="preserve">150378</t>
  </si>
  <si>
    <t xml:space="preserve">1hOSvn6df7F8_7GcBWlSDm</t>
  </si>
  <si>
    <t xml:space="preserve">150478</t>
  </si>
  <si>
    <t xml:space="preserve">2OBrcmyk58NupXoVOHUuXp</t>
  </si>
  <si>
    <t xml:space="preserve">159734</t>
  </si>
  <si>
    <t xml:space="preserve">2OBrcmyk58NupXoVOHUvVV</t>
  </si>
  <si>
    <t xml:space="preserve">159834</t>
  </si>
  <si>
    <t xml:space="preserve">2OBrcmyk58NupXoVOHUvR4</t>
  </si>
  <si>
    <t xml:space="preserve">160065</t>
  </si>
  <si>
    <t xml:space="preserve">2OBrcmyk58NupXoVOHUvPL</t>
  </si>
  <si>
    <t xml:space="preserve">160208</t>
  </si>
  <si>
    <t xml:space="preserve">2OBrcmyk58NupXoVOHUtxr</t>
  </si>
  <si>
    <t xml:space="preserve">Finish Floor - Wood</t>
  </si>
  <si>
    <t xml:space="preserve">170352</t>
  </si>
  <si>
    <t xml:space="preserve">2OBrcmyk58NupXoVOHUtgP</t>
  </si>
  <si>
    <t xml:space="preserve">171292</t>
  </si>
  <si>
    <t xml:space="preserve">2OBrcmyk58NupXoVOHUtC0</t>
  </si>
  <si>
    <t xml:space="preserve">169093</t>
  </si>
  <si>
    <t xml:space="preserve">2OBrcmyk58NupXoVOHUtDX</t>
  </si>
  <si>
    <t xml:space="preserve">169188</t>
  </si>
  <si>
    <t xml:space="preserve">2OBrcmyk58NupXoVOHUtBP</t>
  </si>
  <si>
    <t xml:space="preserve">169308</t>
  </si>
  <si>
    <t xml:space="preserve">2OBrcmyk58NupXoVOHUt8F</t>
  </si>
  <si>
    <t xml:space="preserve">169354</t>
  </si>
  <si>
    <t xml:space="preserve">2OBrcmyk58NupXoVOHUt8s</t>
  </si>
  <si>
    <t xml:space="preserve">169395</t>
  </si>
  <si>
    <t xml:space="preserve">2OBrcmyk58NupXoVOHUt5W</t>
  </si>
  <si>
    <t xml:space="preserve">169701</t>
  </si>
  <si>
    <t xml:space="preserve">2OBrcmyk58NupXoVOHUtoa</t>
  </si>
  <si>
    <t xml:space="preserve">Finish Floor - Ceramic Tile</t>
  </si>
  <si>
    <t xml:space="preserve">170785</t>
  </si>
  <si>
    <t xml:space="preserve">2OBrcmyk58NupXoVOHUtjR</t>
  </si>
  <si>
    <t xml:space="preserve">171230</t>
  </si>
  <si>
    <t xml:space="preserve">2OBrcmyk58NupXoVOHUtju</t>
  </si>
  <si>
    <t xml:space="preserve">171261</t>
  </si>
  <si>
    <t xml:space="preserve">2OBrcmyk58NupXoVOHUten</t>
  </si>
  <si>
    <t xml:space="preserve">171444</t>
  </si>
  <si>
    <t xml:space="preserve">2OBrcmyk58NupXoVOHUt2f</t>
  </si>
  <si>
    <t xml:space="preserve">169772</t>
  </si>
  <si>
    <t xml:space="preserve">2OBrcmyk58NupXoVOHUt0F</t>
  </si>
  <si>
    <t xml:space="preserve">169866</t>
  </si>
  <si>
    <t xml:space="preserve">3bXiCStxP6Fgxdej$yc5T8</t>
  </si>
  <si>
    <t xml:space="preserve">IfcCovering</t>
  </si>
  <si>
    <t xml:space="preserve">Compound Ceiling</t>
  </si>
  <si>
    <t xml:space="preserve">Gypsum Board</t>
  </si>
  <si>
    <t xml:space="preserve">187149</t>
  </si>
  <si>
    <t xml:space="preserve">3bXiCStxP6Fgxdej$yc503</t>
  </si>
  <si>
    <t xml:space="preserve">187462</t>
  </si>
  <si>
    <t xml:space="preserve">3bXiCStxP6Fgxdej$yc50B</t>
  </si>
  <si>
    <t xml:space="preserve">187470</t>
  </si>
  <si>
    <t xml:space="preserve">3bXiCStxP6Fgxdej$yc50U</t>
  </si>
  <si>
    <t xml:space="preserve">187483</t>
  </si>
  <si>
    <t xml:space="preserve">3bXiCStxP6Fgxdej$yc50n</t>
  </si>
  <si>
    <t xml:space="preserve">187508</t>
  </si>
  <si>
    <t xml:space="preserve">3bXiCStxP6Fgxdej$yc52o</t>
  </si>
  <si>
    <t xml:space="preserve">187639</t>
  </si>
  <si>
    <t xml:space="preserve">3bXiCStxP6Fgxdej$yc554</t>
  </si>
  <si>
    <t xml:space="preserve">187649</t>
  </si>
  <si>
    <t xml:space="preserve">3bXiCStxP6Fgxdej$yc55E</t>
  </si>
  <si>
    <t xml:space="preserve">187659</t>
  </si>
  <si>
    <t xml:space="preserve">3bXiCStxP6Fgxdej$yc55M</t>
  </si>
  <si>
    <t xml:space="preserve">187667</t>
  </si>
  <si>
    <t xml:space="preserve">3bXiCStxP6Fgxdej$yc55U</t>
  </si>
  <si>
    <t xml:space="preserve">187675</t>
  </si>
  <si>
    <t xml:space="preserve">3bXiCStxP6Fgxdej$yc55c</t>
  </si>
  <si>
    <t xml:space="preserve">187683</t>
  </si>
  <si>
    <t xml:space="preserve">3bXiCStxP6Fgxdej$yc55k</t>
  </si>
  <si>
    <t xml:space="preserve">187691</t>
  </si>
  <si>
    <t xml:space="preserve">3bXiCStxP6Fgxdej$yc55m</t>
  </si>
  <si>
    <t xml:space="preserve">187701</t>
  </si>
  <si>
    <t xml:space="preserve">0wkEuT1wr1kOyafLY4vyMO</t>
  </si>
  <si>
    <t xml:space="preserve">IfcFurnishingElement</t>
  </si>
  <si>
    <t xml:space="preserve">M_Base Cabinet-Double Door &amp; 2 Drawer</t>
  </si>
  <si>
    <t xml:space="preserve">1000mm</t>
  </si>
  <si>
    <t xml:space="preserve">159159</t>
  </si>
  <si>
    <t xml:space="preserve">0wkEuT1wr1kOyafLY4vyOn</t>
  </si>
  <si>
    <t xml:space="preserve">159262</t>
  </si>
  <si>
    <t xml:space="preserve">2OBrcmyk58NupXoVOHUvGQ</t>
  </si>
  <si>
    <t xml:space="preserve">160671</t>
  </si>
  <si>
    <t xml:space="preserve">2OBrcmyk58NupXoVOHUvH8</t>
  </si>
  <si>
    <t xml:space="preserve">160717</t>
  </si>
  <si>
    <t xml:space="preserve">2OBrcmyk58NupXoVOHUvup</t>
  </si>
  <si>
    <t xml:space="preserve">162230</t>
  </si>
  <si>
    <t xml:space="preserve">2OBrcmyk58NupXoVOHUvs2</t>
  </si>
  <si>
    <t xml:space="preserve">162311</t>
  </si>
  <si>
    <t xml:space="preserve">2OBrcmyk58NupXoVOHUvsm</t>
  </si>
  <si>
    <t xml:space="preserve">162357</t>
  </si>
  <si>
    <t xml:space="preserve">2OBrcmyk58NupXoVOHUvtA</t>
  </si>
  <si>
    <t xml:space="preserve">162383</t>
  </si>
  <si>
    <t xml:space="preserve">2OBrcmyk58NupXoVOHUvqp</t>
  </si>
  <si>
    <t xml:space="preserve">162486</t>
  </si>
  <si>
    <t xml:space="preserve">2OBrcmyk58NupXoVOHUvqo</t>
  </si>
  <si>
    <t xml:space="preserve">162487</t>
  </si>
  <si>
    <t xml:space="preserve">2OBrcmyk58NupXoVOHUvqz</t>
  </si>
  <si>
    <t xml:space="preserve">162488</t>
  </si>
  <si>
    <t xml:space="preserve">2OBrcmyk58NupXoVOHUvqy</t>
  </si>
  <si>
    <t xml:space="preserve">162489</t>
  </si>
  <si>
    <t xml:space="preserve">2OBrcmyk58NupXoVOHUvqu</t>
  </si>
  <si>
    <t xml:space="preserve">162493</t>
  </si>
  <si>
    <t xml:space="preserve">2OBrcmyk58NupXoVOHUvqw</t>
  </si>
  <si>
    <t xml:space="preserve">162495</t>
  </si>
  <si>
    <t xml:space="preserve">2OBrcmyk58NupXoVOHUvr5</t>
  </si>
  <si>
    <t xml:space="preserve">162496</t>
  </si>
  <si>
    <t xml:space="preserve">2OBrcmyk58NupXoVOHUvr4</t>
  </si>
  <si>
    <t xml:space="preserve">162497</t>
  </si>
  <si>
    <t xml:space="preserve">0iEHWY1$XA8eQeeULq4j7w</t>
  </si>
  <si>
    <t xml:space="preserve">M_Upper Cabinet-Double Door-Wall</t>
  </si>
  <si>
    <t xml:space="preserve">1000 mm</t>
  </si>
  <si>
    <t xml:space="preserve">191401</t>
  </si>
  <si>
    <t xml:space="preserve">0iEHWY1$XA8eQeeULq4jOM</t>
  </si>
  <si>
    <t xml:space="preserve">191557</t>
  </si>
  <si>
    <t xml:space="preserve">0iEHWY1$XA8eQeeULq4jQJ</t>
  </si>
  <si>
    <t xml:space="preserve">191680</t>
  </si>
  <si>
    <t xml:space="preserve">0iEHWY1$XA8eQeeULq4jJA</t>
  </si>
  <si>
    <t xml:space="preserve">192153</t>
  </si>
  <si>
    <t xml:space="preserve">0iEHWY1$XA8eQeeULq4jKO</t>
  </si>
  <si>
    <t xml:space="preserve">192331</t>
  </si>
  <si>
    <t xml:space="preserve">0iEHWY1$XA8eQeeULq4jMl</t>
  </si>
  <si>
    <t xml:space="preserve">192508</t>
  </si>
  <si>
    <t xml:space="preserve">0iEHWY1$XA8eQeeULq4jTB</t>
  </si>
  <si>
    <t xml:space="preserve">191768</t>
  </si>
  <si>
    <t xml:space="preserve">0iEHWY1$XA8eQeeULq4ien</t>
  </si>
  <si>
    <t xml:space="preserve">192610</t>
  </si>
  <si>
    <t xml:space="preserve">0wkEuT1wr1kOyafLY4vyu$</t>
  </si>
  <si>
    <t xml:space="preserve">M_Tall Cabinet-Single Door(2)</t>
  </si>
  <si>
    <t xml:space="preserve">800 mm</t>
  </si>
  <si>
    <t xml:space="preserve">157200</t>
  </si>
  <si>
    <t xml:space="preserve">0wkEuT1wr1kOyafLY4vy_8</t>
  </si>
  <si>
    <t xml:space="preserve">157607</t>
  </si>
  <si>
    <t xml:space="preserve">0wkEuT1wr1kOyafLY4vy3H</t>
  </si>
  <si>
    <t xml:space="preserve">157950</t>
  </si>
  <si>
    <t xml:space="preserve">0wkEuT1wr1kOyafLY4vy3G</t>
  </si>
  <si>
    <t xml:space="preserve">157951</t>
  </si>
  <si>
    <t xml:space="preserve">0wkEuT1wr1kOyafLY4vy4m</t>
  </si>
  <si>
    <t xml:space="preserve">157983</t>
  </si>
  <si>
    <t xml:space="preserve">0wkEuT1wr1kOyafLY4vy4F</t>
  </si>
  <si>
    <t xml:space="preserve">157984</t>
  </si>
  <si>
    <t xml:space="preserve">0wkEuT1wr1kOyafLY4vy6l</t>
  </si>
  <si>
    <t xml:space="preserve">158080</t>
  </si>
  <si>
    <t xml:space="preserve">0wkEuT1wr1kOyafLY4vy6k</t>
  </si>
  <si>
    <t xml:space="preserve">158081</t>
  </si>
  <si>
    <t xml:space="preserve">2OBrcmyk58NupXoVOHUv88</t>
  </si>
  <si>
    <t xml:space="preserve">M_Counter Top w Sink Hole</t>
  </si>
  <si>
    <t xml:space="preserve">600mm Depth</t>
  </si>
  <si>
    <t xml:space="preserve">161165</t>
  </si>
  <si>
    <t xml:space="preserve">2OBrcmyk58NupXoVOHUvq$</t>
  </si>
  <si>
    <t xml:space="preserve">162490</t>
  </si>
  <si>
    <t xml:space="preserve">2OBrcmyk58NupXoVOHUv3h</t>
  </si>
  <si>
    <t xml:space="preserve">M_Counter Top</t>
  </si>
  <si>
    <t xml:space="preserve">161646</t>
  </si>
  <si>
    <t xml:space="preserve">2OBrcmyk58NupXoVOHUvuo</t>
  </si>
  <si>
    <t xml:space="preserve">162231</t>
  </si>
  <si>
    <t xml:space="preserve">2OBrcmyk58NupXoVOHUvq_</t>
  </si>
  <si>
    <t xml:space="preserve">162491</t>
  </si>
  <si>
    <t xml:space="preserve">2OBrcmyk58NupXoVOHUvqx</t>
  </si>
  <si>
    <t xml:space="preserve">162494</t>
  </si>
  <si>
    <t xml:space="preserve">2gRXFgjRn2HPE$YoDLX0vP</t>
  </si>
  <si>
    <t xml:space="preserve">M_Vanity Cabinet-Double Door Sink Unit</t>
  </si>
  <si>
    <t xml:space="preserve">450 x 450 mm</t>
  </si>
  <si>
    <t xml:space="preserve">205548</t>
  </si>
  <si>
    <t xml:space="preserve">2gRXFgjRn2HPE$YoDLX0mp</t>
  </si>
  <si>
    <t xml:space="preserve">650 x 450 mm</t>
  </si>
  <si>
    <t xml:space="preserve">204934</t>
  </si>
  <si>
    <t xml:space="preserve">2gRXFgjRn2HPE$YoDLX0q2</t>
  </si>
  <si>
    <t xml:space="preserve">205239</t>
  </si>
  <si>
    <t xml:space="preserve">2gRXFgjRn2HPE$YoDLX0rb</t>
  </si>
  <si>
    <t xml:space="preserve">205264</t>
  </si>
  <si>
    <t xml:space="preserve">2gRXFgjRn2HPE$YoDLX0ra</t>
  </si>
  <si>
    <t xml:space="preserve">205265</t>
  </si>
  <si>
    <t xml:space="preserve">2OBrcmyk58NupXoVOHUtM4</t>
  </si>
  <si>
    <t xml:space="preserve">M_Bed-Standard</t>
  </si>
  <si>
    <t xml:space="preserve">1525 x 2007mm - Queen</t>
  </si>
  <si>
    <t xml:space="preserve">168449</t>
  </si>
  <si>
    <t xml:space="preserve">2OBrcmyk58NupXoVOHUtEr</t>
  </si>
  <si>
    <t xml:space="preserve">169008</t>
  </si>
  <si>
    <t xml:space="preserve">2OBrcmyk58NupXoVOHUtI8</t>
  </si>
  <si>
    <t xml:space="preserve">1981 x 2032mm - King</t>
  </si>
  <si>
    <t xml:space="preserve">168717</t>
  </si>
  <si>
    <t xml:space="preserve">2OBrcmyk58NupXoVOHUtHN</t>
  </si>
  <si>
    <t xml:space="preserve">168914</t>
  </si>
  <si>
    <t xml:space="preserve">2OBrcmyk58NupXoVOHUshs</t>
  </si>
  <si>
    <t xml:space="preserve">M_Sofa</t>
  </si>
  <si>
    <t xml:space="preserve">1830mm</t>
  </si>
  <si>
    <t xml:space="preserve">167283</t>
  </si>
  <si>
    <t xml:space="preserve">2OBrcmyk58NupXoVOHUsc7</t>
  </si>
  <si>
    <t xml:space="preserve">167426</t>
  </si>
  <si>
    <t xml:space="preserve">2OBrcmyk58NupXoVOHUtOy</t>
  </si>
  <si>
    <t xml:space="preserve">168377</t>
  </si>
  <si>
    <t xml:space="preserve">2OBrcmyk58NupXoVOHUtO$</t>
  </si>
  <si>
    <t xml:space="preserve">168378</t>
  </si>
  <si>
    <t xml:space="preserve">2OBrcmyk58NupXoVOHUsab</t>
  </si>
  <si>
    <t xml:space="preserve">M_Table-Coffee</t>
  </si>
  <si>
    <t xml:space="preserve">0610 x 0610 x 0610mm</t>
  </si>
  <si>
    <t xml:space="preserve">167584</t>
  </si>
  <si>
    <t xml:space="preserve">2OBrcmyk58NupXoVOHUsbY</t>
  </si>
  <si>
    <t xml:space="preserve">167655</t>
  </si>
  <si>
    <t xml:space="preserve">2OBrcmyk58NupXoVOHUtO_</t>
  </si>
  <si>
    <t xml:space="preserve">168379</t>
  </si>
  <si>
    <t xml:space="preserve">2OBrcmyk58NupXoVOHUtOv</t>
  </si>
  <si>
    <t xml:space="preserve">168380</t>
  </si>
  <si>
    <t xml:space="preserve">2kvhekJrnDjRw0CDkKW$UD</t>
  </si>
  <si>
    <t xml:space="preserve">206283</t>
  </si>
  <si>
    <t xml:space="preserve">2kvhekJrnDjRw0CDkKW$JW</t>
  </si>
  <si>
    <t xml:space="preserve">206502</t>
  </si>
  <si>
    <t xml:space="preserve">2kvhekJrnDjRw0CDkKW$KL</t>
  </si>
  <si>
    <t xml:space="preserve">206675</t>
  </si>
  <si>
    <t xml:space="preserve">2kvhekJrnDjRw0CDkKW$fQ</t>
  </si>
  <si>
    <t xml:space="preserve">206876</t>
  </si>
  <si>
    <t xml:space="preserve">2OBrcmyk58NupXoVOHUtVQ</t>
  </si>
  <si>
    <t xml:space="preserve">0915 x 1830 x 0457mm</t>
  </si>
  <si>
    <t xml:space="preserve">168031</t>
  </si>
  <si>
    <t xml:space="preserve">2OBrcmyk58NupXoVOHUtOu</t>
  </si>
  <si>
    <t xml:space="preserve">168381</t>
  </si>
  <si>
    <t xml:space="preserve">1CZILmCaHETO8tf3SgGEWh</t>
  </si>
  <si>
    <t xml:space="preserve">150mm Exterior Slab on Grade</t>
  </si>
  <si>
    <t xml:space="preserve">216507</t>
  </si>
  <si>
    <t xml:space="preserve">1CZILmCaHETO8tf3SgGEXu</t>
  </si>
  <si>
    <t xml:space="preserve">216552</t>
  </si>
  <si>
    <t xml:space="preserve">1gtrSK5QnDuxDwygd0EDGO</t>
  </si>
  <si>
    <t xml:space="preserve">IfcMember</t>
  </si>
  <si>
    <t xml:space="preserve">EXCL</t>
  </si>
  <si>
    <t xml:space="preserve">Aggregated part of IfcStair - measured at parent (avoids double count)</t>
  </si>
  <si>
    <t xml:space="preserve">34qUFGjJzFKwVWpXe2dTPt</t>
  </si>
  <si>
    <t xml:space="preserve">2</t>
  </si>
  <si>
    <t xml:space="preserve">01KzA4SPn5IOODwLEb5RNY</t>
  </si>
  <si>
    <t xml:space="preserve">37Fy90kSD2PvviizyM7EKl</t>
  </si>
  <si>
    <t xml:space="preserve">1oKjKg9PD3fP1iIwXLh3lK</t>
  </si>
  <si>
    <t xml:space="preserve">IfcStairFlight</t>
  </si>
  <si>
    <t xml:space="preserve">3KMJUyUe9DfQ2FOCd5ZoiN</t>
  </si>
  <si>
    <t xml:space="preserve">3ThA22djr8AQQ9eQMA5s7I</t>
  </si>
  <si>
    <t xml:space="preserve">Aggregated part of IfcRoof - measured at parent (avoids double count)</t>
  </si>
  <si>
    <t xml:space="preserve">Width (m)</t>
  </si>
  <si>
    <t xml:space="preserve">Height (m)</t>
  </si>
  <si>
    <t xml:space="preserve">Area W x H (m2)</t>
  </si>
  <si>
    <t xml:space="preserve">External</t>
  </si>
  <si>
    <t xml:space="preserve">Host element type</t>
  </si>
  <si>
    <t xml:space="preserve">Host BoQ key</t>
  </si>
  <si>
    <t xml:space="preserve">Own BoQ key</t>
  </si>
  <si>
    <t xml:space="preserve">No</t>
  </si>
  <si>
    <t xml:space="preserve">Yes</t>
  </si>
  <si>
    <t xml:space="preserve">Material take-off from IFC material layer sets</t>
  </si>
  <si>
    <t xml:space="preserve">Layer area = element adopted area (one face per layer); layer volume = area x thickness. A different VIEW of the same elements - not additional to the BoQ.</t>
  </si>
  <si>
    <t xml:space="preserve">Element type</t>
  </si>
  <si>
    <t xml:space="preserve">Category</t>
  </si>
  <si>
    <t xml:space="preserve">Layer #</t>
  </si>
  <si>
    <t xml:space="preserve">Material (as in IFC)</t>
  </si>
  <si>
    <t xml:space="preserve">Normalised material</t>
  </si>
  <si>
    <t xml:space="preserve">Thickness (mm)</t>
  </si>
  <si>
    <t xml:space="preserve">Element area (m2)</t>
  </si>
  <si>
    <t xml:space="preserve">Layer volume (m3)</t>
  </si>
  <si>
    <t xml:space="preserve">Normalised name (edit)</t>
  </si>
  <si>
    <t xml:space="preserve">Wall</t>
  </si>
  <si>
    <t xml:space="preserve">Concrete - Cast In Situ</t>
  </si>
  <si>
    <t xml:space="preserve">Ceramic Tile</t>
  </si>
  <si>
    <t xml:space="preserve">Concrete</t>
  </si>
  <si>
    <t xml:space="preserve">Wood - Sheathing - plywood</t>
  </si>
  <si>
    <t xml:space="preserve">Insulation / Thermal Barriers - Rigid insulation</t>
  </si>
  <si>
    <t xml:space="preserve">Wood - Dimensional Lumber</t>
  </si>
  <si>
    <t xml:space="preserve">Insulation / Thermal Barriers - Semi-rigid insulation</t>
  </si>
  <si>
    <t xml:space="preserve">Site - Grass</t>
  </si>
  <si>
    <t xml:space="preserve">Masonry - Brick</t>
  </si>
  <si>
    <t xml:space="preserve">Roofing - Barrier</t>
  </si>
  <si>
    <t xml:space="preserve">Masonry - Concrete Block</t>
  </si>
  <si>
    <t xml:space="preserve">Roofing - EPDM Membrane</t>
  </si>
  <si>
    <t xml:space="preserve">Masonry - Grout</t>
  </si>
  <si>
    <t xml:space="preserve">Metal - Stud Layer</t>
  </si>
  <si>
    <t xml:space="preserve">Misc. Air Layers - Air Space</t>
  </si>
  <si>
    <t xml:space="preserve">Plasterboard</t>
  </si>
  <si>
    <t xml:space="preserve">Wood - Flooring</t>
  </si>
  <si>
    <t xml:space="preserve">Ceiling</t>
  </si>
  <si>
    <t xml:space="preserve">Summary by normalised material</t>
  </si>
  <si>
    <t xml:space="preserve">Total layer area (m2)</t>
  </si>
  <si>
    <t xml:space="preserve">Total volume (m3)</t>
  </si>
  <si>
    <t xml:space="preserve">Concrete - strip footings (no material in IFC; BoQ 1.01)</t>
  </si>
  <si>
    <t xml:space="preserve">Metal - Steel - 345 MPa, beams (kg - see Register col N)</t>
  </si>
  <si>
    <t xml:space="preserve">Number</t>
  </si>
  <si>
    <t xml:space="preserve">Name</t>
  </si>
  <si>
    <t xml:space="preserve">Level</t>
  </si>
  <si>
    <t xml:space="preserve">Area (m2)</t>
  </si>
  <si>
    <t xml:space="preserve">Volume (m3)</t>
  </si>
  <si>
    <t xml:space="preserve">GSA BIM area (m2)</t>
  </si>
  <si>
    <t xml:space="preserve">In NIA? (edit)</t>
  </si>
  <si>
    <t xml:space="preserve">A101</t>
  </si>
  <si>
    <t xml:space="preserve">Foyer</t>
  </si>
  <si>
    <t xml:space="preserve">General Residential Space</t>
  </si>
  <si>
    <t xml:space="preserve">Y</t>
  </si>
  <si>
    <t xml:space="preserve">A102</t>
  </si>
  <si>
    <t xml:space="preserve">Living Room</t>
  </si>
  <si>
    <t xml:space="preserve">Living Spaces</t>
  </si>
  <si>
    <t xml:space="preserve">A103</t>
  </si>
  <si>
    <t xml:space="preserve">Kitchen</t>
  </si>
  <si>
    <t xml:space="preserve">A104</t>
  </si>
  <si>
    <t xml:space="preserve">Bathroom 1</t>
  </si>
  <si>
    <t xml:space="preserve">Bathroom</t>
  </si>
  <si>
    <t xml:space="preserve">A105</t>
  </si>
  <si>
    <t xml:space="preserve">Stairway</t>
  </si>
  <si>
    <t xml:space="preserve">B101</t>
  </si>
  <si>
    <t xml:space="preserve">B102</t>
  </si>
  <si>
    <t xml:space="preserve">B103</t>
  </si>
  <si>
    <t xml:space="preserve">B104</t>
  </si>
  <si>
    <t xml:space="preserve">B105</t>
  </si>
  <si>
    <t xml:space="preserve">Room</t>
  </si>
  <si>
    <t xml:space="preserve">A201</t>
  </si>
  <si>
    <t xml:space="preserve">Hallway</t>
  </si>
  <si>
    <t xml:space="preserve">A202</t>
  </si>
  <si>
    <t xml:space="preserve">Bedroom 1</t>
  </si>
  <si>
    <t xml:space="preserve">Bedroom</t>
  </si>
  <si>
    <t xml:space="preserve">A203</t>
  </si>
  <si>
    <t xml:space="preserve">Bedroom 2</t>
  </si>
  <si>
    <t xml:space="preserve">A204</t>
  </si>
  <si>
    <t xml:space="preserve">Bathroom 2</t>
  </si>
  <si>
    <t xml:space="preserve">A205</t>
  </si>
  <si>
    <t xml:space="preserve">Utility</t>
  </si>
  <si>
    <t xml:space="preserve">Service Distribution Spaces</t>
  </si>
  <si>
    <t xml:space="preserve">B201</t>
  </si>
  <si>
    <t xml:space="preserve">B202</t>
  </si>
  <si>
    <t xml:space="preserve">B203</t>
  </si>
  <si>
    <t xml:space="preserve">B204</t>
  </si>
  <si>
    <t xml:space="preserve">B205</t>
  </si>
  <si>
    <t xml:space="preserve">R301</t>
  </si>
  <si>
    <t xml:space="preserve">Other General Facility Service Spaces</t>
  </si>
  <si>
    <t xml:space="preserve">N</t>
  </si>
  <si>
    <t xml:space="preserve">Net internal area by level</t>
  </si>
  <si>
    <t xml:space="preserve">Total NIA</t>
  </si>
  <si>
    <t xml:space="preserve">R301 is the roof surface space (green roof), excluded by default. Stair spaces A105/B105 are double height and counted once on Level 1.</t>
  </si>
  <si>
    <t xml:space="preserve">QA log - what the checks found and what was done about it</t>
  </si>
  <si>
    <t xml:space="preserve">Status</t>
  </si>
  <si>
    <t xml:space="preserve">Element(s)</t>
  </si>
  <si>
    <t xml:space="preserve">Finding</t>
  </si>
  <si>
    <t xml:space="preserve">Action / decision</t>
  </si>
  <si>
    <t xml:space="preserve">Info</t>
  </si>
  <si>
    <t xml:space="preserve">Whole model</t>
  </si>
  <si>
    <t xml:space="preserve">No IFC BaseQuantities present (Revit 2011 export). Only PSet_Revit_Dimensions and GSA space areas.</t>
  </si>
  <si>
    <t xml:space="preserve">Used Revit-reported values as primary source and recomputed every solid from geometry as an independent check.</t>
  </si>
  <si>
    <t xml:space="preserve">Party wall 2.7.1 (Level 2, IfcWall)</t>
  </si>
  <si>
    <t xml:space="preserve">Body exported as IfcFaceBasedSurfaceModel with inconsistent face winding: naive mesh volume 432.97 m3 vs reported 25.83 m3.</t>
  </si>
  <si>
    <t xml:space="preserve">Repaired normals before measuring; repaired volume 25.830 m3 matches reported exactly.</t>
  </si>
  <si>
    <t xml:space="preserve">Party wall 2.7.1 (Level 1, 2.2 m stub)</t>
  </si>
  <si>
    <t xml:space="preserve">Geometry 2.856 m3 vs reported 2.011 m3 (+42%). Solid-intersection test shows two 0.379 m3 overlaps with the adjacent party walls at T-junctions.</t>
  </si>
  <si>
    <t xml:space="preserve">Adopted reported (join-aware) volume. Geometry minus overlaps = 2.098 m3, within ~4% of reported.</t>
  </si>
  <si>
    <t xml:space="preserve">Walls 2.5.1 (Level 2) and 2.7.1 (Level 1)</t>
  </si>
  <si>
    <t xml:space="preserve">Revit "Area" does not equal Volume / layer-set thickness on 7 walls: the 4 Level 2 exterior walls differ by ~1.2 m2 each (matches two 819x759 windows not deducted from Area but deducted from Volume); the party walls differ by 1.2-8.6 m2.</t>
  </si>
  <si>
    <t xml:space="preserve">Wall areas adopted as Volume / thickness for every wall, so area, volume and material layers are internally consistent. Opening add-back threshold is a parameter.</t>
  </si>
  <si>
    <t xml:space="preserve">Steel beams 2.1.x</t>
  </si>
  <si>
    <t xml:space="preserve">Geometric volume 3.5-4.7% above Revit volume.</t>
  </si>
  <si>
    <t xml:space="preserve">Steel measured by length x nominal mass per metre (W-section designation), with volume x density as a cross-check in the register.</t>
  </si>
  <si>
    <t xml:space="preserve">Check</t>
  </si>
  <si>
    <t xml:space="preserve">Ceilings 3.3.1 (187462 / 187470)</t>
  </si>
  <si>
    <t xml:space="preserve">Two ceiling elements overlap by 0.181 m3 (~3.2 m2 of ceiling modelled twice).</t>
  </si>
  <si>
    <t xml:space="preserve">Not auto-deducted. Flagged for the modeller; possible over-measure of ~3.2 m2.</t>
  </si>
  <si>
    <t xml:space="preserve">Beams vs exterior walls; partitions vs floor zone</t>
  </si>
  <si>
    <t xml:space="preserve">Remaining solid overlaps (beam bearings inside brick walls, partitions running through the joist floor, ceilings clipping walls) total ~0.9 m3.</t>
  </si>
  <si>
    <t xml:space="preserve">Treated as normal modelling tolerance; each element measured on its own. Listed in overlaps.json.</t>
  </si>
  <si>
    <t xml:space="preserve">IfcRoof / IfcStair</t>
  </si>
  <si>
    <t xml:space="preserve">Roof geometry lives on a child IfcSlab; stairs are aggregates of flights, stringers (IfcMember) and railings.</t>
  </si>
  <si>
    <t xml:space="preserve">Measured at the parent object; child parts kept in register with count 0 (except railings, which are measured as their own items).</t>
  </si>
  <si>
    <t xml:space="preserve">Assumption</t>
  </si>
  <si>
    <t xml:space="preserve">Strip footings 1.01</t>
  </si>
  <si>
    <t xml:space="preserve">No material association on IfcFooting.</t>
  </si>
  <si>
    <t xml:space="preserve">Concrete assumed from type name "Bearing Footing - 900 x 300"; 300 mm depth used for formwork derivation.</t>
  </si>
  <si>
    <t xml:space="preserve">Data quality</t>
  </si>
  <si>
    <t xml:space="preserve">Party wall type</t>
  </si>
  <si>
    <t xml:space="preserve">Pset_WallCommon.IsExternal = TRUE on the party (unit-dividing) wall.</t>
  </si>
  <si>
    <t xml:space="preserve">Classified as internal wall (2.7) by type, overriding the flag.</t>
  </si>
  <si>
    <t xml:space="preserve">Skylights 2.3.2</t>
  </si>
  <si>
    <t xml:space="preserve">Pset_WindowCommon.IsExternal = FALSE on roof lights.</t>
  </si>
  <si>
    <t xml:space="preserve">Classified under Roof by host element.</t>
  </si>
  <si>
    <t xml:space="preserve">Space B105</t>
  </si>
  <si>
    <t xml:space="preserve">Named "Room" while its twin A105 is named "Stair" (both category Stairway).</t>
  </si>
  <si>
    <t xml:space="preserve">Treated as stair space.</t>
  </si>
  <si>
    <t xml:space="preserve">PSet_Revit_Other</t>
  </si>
  <si>
    <t xml:space="preserve">Placeholder values (e.g. InstallationDate = "InstallationDate") on most elements.</t>
  </si>
  <si>
    <t xml:space="preserve">Ignored.</t>
  </si>
  <si>
    <t xml:space="preserve">Scope</t>
  </si>
  <si>
    <t xml:space="preserve">Not in model</t>
  </si>
  <si>
    <t xml:space="preserve">No MEP, no reinforcement, no external works beyond two slabs, no skirtings/sills/cills.</t>
  </si>
  <si>
    <t xml:space="preserve">Not measured - would need separate models or derived rules.</t>
  </si>
  <si>
    <t xml:space="preserve">Material names</t>
  </si>
  <si>
    <t xml:space="preserve">Two names for the same material: "Concrete" (127 mm slab) and "Concrete - Cast In Situ".</t>
  </si>
  <si>
    <t xml:space="preserve">Merged via the editable naming dictionary on the Materials sheet (cols K:L).</t>
  </si>
  <si>
    <t xml:space="preserve">Parameters (edit the yellow cells - everything downstream recalculates)</t>
  </si>
  <si>
    <t xml:space="preserve">Parameter</t>
  </si>
  <si>
    <t xml:space="preserve">Value</t>
  </si>
  <si>
    <t xml:space="preserve">Used by / source</t>
  </si>
  <si>
    <t xml:space="preserve">Steel density</t>
  </si>
  <si>
    <t xml:space="preserve">kg/m3</t>
  </si>
  <si>
    <t xml:space="preserve">Register col O - cross-check of beam mass from volume. Standard value for structural steel.</t>
  </si>
  <si>
    <t xml:space="preserve">Opening add-back threshold</t>
  </si>
  <si>
    <t xml:space="preserve">Wall areas: openings with W x H &lt;= this value are added back (not deducted). 0 = deduct all openings (model net). Set per your measurement standard.</t>
  </si>
  <si>
    <t xml:space="preserve">Strip footing depth</t>
  </si>
  <si>
    <t xml:space="preserve">BoQ 1.02 formwork. From type name "Bearing Footing - 900 x 300".</t>
  </si>
  <si>
    <t xml:space="preserve">Ground slab thickness</t>
  </si>
  <si>
    <t xml:space="preserve">BoQ 1.08 edge formwork. From layer set "127mm Slab on Grade".</t>
  </si>
  <si>
    <t xml:space="preserve">Exterior slab thickness</t>
  </si>
  <si>
    <t xml:space="preserve">BoQ 8.3 edge formwork. From layer set "150mm Exterior Slab on Grade".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</si>
</sst>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#,##0.000;\-#,##0.000;\-"/>
    <numFmt numFmtId="167" formatCode="#,##0;\-#,##0;\-"/>
    <numFmt numFmtId="168" formatCode="0.0%;\-0.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B2A6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B2A6B"/>
        <bgColor rgb="FF333333"/>
      </patternFill>
    </fill>
    <fill>
      <patternFill patternType="solid">
        <fgColor rgb="FFE9E4F5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9E4F5"/>
      </patternFill>
    </fill>
    <fill>
      <patternFill patternType="solid">
        <fgColor rgb="FFFCE4C4"/>
        <bgColor rgb="FFE9E4F5"/>
      </patternFill>
    </fill>
    <fill>
      <patternFill patternType="solid">
        <fgColor rgb="FFD9EAD3"/>
        <bgColor rgb="FFE9E4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2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4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E9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B2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2" t="s">
        <v>3</v>
      </c>
      <c r="C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6" customFormat="false" ht="15" hidden="false" customHeight="false" outlineLevel="0" collapsed="false">
      <c r="B6" s="2" t="s">
        <v>7</v>
      </c>
      <c r="C6" s="3" t="s">
        <v>8</v>
      </c>
    </row>
    <row r="7" customFormat="false" ht="15" hidden="false" customHeight="false" outlineLevel="0" collapsed="false">
      <c r="B7" s="2" t="s">
        <v>9</v>
      </c>
      <c r="C7" s="3" t="s">
        <v>10</v>
      </c>
    </row>
    <row r="8" customFormat="false" ht="15" hidden="false" customHeight="false" outlineLevel="0" collapsed="false">
      <c r="B8" s="2" t="s">
        <v>11</v>
      </c>
      <c r="C8" s="3" t="s">
        <v>12</v>
      </c>
    </row>
    <row r="9" customFormat="false" ht="15" hidden="false" customHeight="false" outlineLevel="0" collapsed="false">
      <c r="B9" s="2"/>
      <c r="C9" s="3"/>
    </row>
    <row r="10" customFormat="false" ht="23.85" hidden="false" customHeight="false" outlineLevel="0" collapsed="false">
      <c r="B10" s="2" t="s">
        <v>13</v>
      </c>
      <c r="C10" s="3" t="s">
        <v>14</v>
      </c>
    </row>
    <row r="11" customFormat="false" ht="23.85" hidden="false" customHeight="false" outlineLevel="0" collapsed="false">
      <c r="B11" s="2"/>
      <c r="C11" s="3" t="s">
        <v>15</v>
      </c>
    </row>
    <row r="12" customFormat="false" ht="23.85" hidden="false" customHeight="false" outlineLevel="0" collapsed="false">
      <c r="B12" s="2"/>
      <c r="C12" s="3" t="s">
        <v>16</v>
      </c>
    </row>
    <row r="13" customFormat="false" ht="23.85" hidden="false" customHeight="false" outlineLevel="0" collapsed="false">
      <c r="B13" s="2"/>
      <c r="C13" s="3" t="s">
        <v>17</v>
      </c>
    </row>
    <row r="14" customFormat="false" ht="15" hidden="false" customHeight="false" outlineLevel="0" collapsed="false">
      <c r="B14" s="2"/>
      <c r="C14" s="3"/>
    </row>
    <row r="15" customFormat="false" ht="23.85" hidden="false" customHeight="false" outlineLevel="0" collapsed="false">
      <c r="B15" s="2" t="s">
        <v>18</v>
      </c>
      <c r="C15" s="3" t="s">
        <v>19</v>
      </c>
    </row>
    <row r="16" customFormat="false" ht="23.85" hidden="false" customHeight="false" outlineLevel="0" collapsed="false">
      <c r="B16" s="2"/>
      <c r="C16" s="3" t="s">
        <v>20</v>
      </c>
    </row>
    <row r="17" customFormat="false" ht="15" hidden="false" customHeight="false" outlineLevel="0" collapsed="false">
      <c r="B17" s="2"/>
      <c r="C17" s="3"/>
    </row>
    <row r="18" customFormat="false" ht="15" hidden="false" customHeight="false" outlineLevel="0" collapsed="false">
      <c r="B18" s="2" t="s">
        <v>21</v>
      </c>
      <c r="C18" s="3" t="s">
        <v>22</v>
      </c>
    </row>
    <row r="19" customFormat="false" ht="23.85" hidden="false" customHeight="false" outlineLevel="0" collapsed="false">
      <c r="B19" s="2" t="s">
        <v>23</v>
      </c>
      <c r="C19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</row>
    <row r="5" customFormat="false" ht="15" hidden="false" customHeight="false" outlineLevel="0" collapsed="false">
      <c r="A5" s="6" t="s">
        <v>34</v>
      </c>
      <c r="B5" s="6" t="s">
        <v>35</v>
      </c>
      <c r="C5" s="7"/>
      <c r="D5" s="7"/>
      <c r="E5" s="7"/>
      <c r="F5" s="7"/>
      <c r="G5" s="7"/>
    </row>
    <row r="6" customFormat="false" ht="15" hidden="false" customHeight="false" outlineLevel="0" collapsed="false">
      <c r="A6" s="8" t="s">
        <v>36</v>
      </c>
      <c r="B6" s="9" t="s">
        <v>37</v>
      </c>
      <c r="C6" s="8" t="s">
        <v>38</v>
      </c>
      <c r="D6" s="10" t="n">
        <f aca="false">SUMIFS(Register!$J:$J,Register!$F:$F,"1.01")</f>
        <v>16.52805</v>
      </c>
      <c r="E6" s="11"/>
      <c r="F6" s="10" t="n">
        <f aca="false">D6*E6</f>
        <v>0</v>
      </c>
      <c r="G6" s="9" t="s">
        <v>39</v>
      </c>
    </row>
    <row r="7" customFormat="false" ht="15" hidden="false" customHeight="false" outlineLevel="0" collapsed="false">
      <c r="A7" s="8" t="s">
        <v>40</v>
      </c>
      <c r="B7" s="9" t="s">
        <v>41</v>
      </c>
      <c r="C7" s="8" t="s">
        <v>42</v>
      </c>
      <c r="D7" s="10" t="n">
        <f aca="false">2*SUMIFS(Register!$H:$H,Register!$F:$F,"1.01")*Params!$B$6</f>
        <v>37.0188</v>
      </c>
      <c r="E7" s="11"/>
      <c r="F7" s="10" t="n">
        <f aca="false">D7*E7</f>
        <v>0</v>
      </c>
      <c r="G7" s="9" t="s">
        <v>43</v>
      </c>
    </row>
    <row r="8" customFormat="false" ht="15" hidden="false" customHeight="false" outlineLevel="0" collapsed="false">
      <c r="A8" s="8" t="s">
        <v>44</v>
      </c>
      <c r="B8" s="9" t="s">
        <v>45</v>
      </c>
      <c r="C8" s="8" t="s">
        <v>38</v>
      </c>
      <c r="D8" s="10" t="n">
        <f aca="false">SUMIFS(Register!$J:$J,Register!$F:$F,"1.03")</f>
        <v>26.861055</v>
      </c>
      <c r="E8" s="11"/>
      <c r="F8" s="10" t="n">
        <f aca="false">D8*E8</f>
        <v>0</v>
      </c>
      <c r="G8" s="9" t="s">
        <v>46</v>
      </c>
    </row>
    <row r="9" customFormat="false" ht="15" hidden="false" customHeight="false" outlineLevel="0" collapsed="false">
      <c r="A9" s="8" t="s">
        <v>47</v>
      </c>
      <c r="B9" s="9" t="s">
        <v>48</v>
      </c>
      <c r="C9" s="8" t="s">
        <v>38</v>
      </c>
      <c r="D9" s="10" t="n">
        <f aca="false">SUMIFS(Register!$J:$J,Register!$F:$F,"1.04")</f>
        <v>5.43025507500001</v>
      </c>
      <c r="E9" s="11"/>
      <c r="F9" s="10" t="n">
        <f aca="false">D9*E9</f>
        <v>0</v>
      </c>
      <c r="G9" s="9" t="s">
        <v>46</v>
      </c>
    </row>
    <row r="10" customFormat="false" ht="15" hidden="false" customHeight="false" outlineLevel="0" collapsed="false">
      <c r="A10" s="8" t="s">
        <v>49</v>
      </c>
      <c r="B10" s="9" t="s">
        <v>50</v>
      </c>
      <c r="C10" s="8" t="s">
        <v>42</v>
      </c>
      <c r="D10" s="10" t="n">
        <f aca="false">2*(SUMIFS(Register!$I:$I,Register!$F:$F,"1.03")+SUMIFS(Register!$I:$I,Register!$F:$F,"1.04"))</f>
        <v>153.79669</v>
      </c>
      <c r="E10" s="11"/>
      <c r="F10" s="10" t="n">
        <f aca="false">D10*E10</f>
        <v>0</v>
      </c>
      <c r="G10" s="9" t="s">
        <v>51</v>
      </c>
    </row>
    <row r="11" customFormat="false" ht="15" hidden="false" customHeight="false" outlineLevel="0" collapsed="false">
      <c r="A11" s="8" t="s">
        <v>52</v>
      </c>
      <c r="B11" s="9" t="s">
        <v>53</v>
      </c>
      <c r="C11" s="8" t="s">
        <v>38</v>
      </c>
      <c r="D11" s="10" t="n">
        <f aca="false">SUMIFS(Register!$J:$J,Register!$F:$F,"1.06")</f>
        <v>16.470167212</v>
      </c>
      <c r="E11" s="11"/>
      <c r="F11" s="10" t="n">
        <f aca="false">D11*E11</f>
        <v>0</v>
      </c>
      <c r="G11" s="9" t="s">
        <v>46</v>
      </c>
    </row>
    <row r="12" customFormat="false" ht="15" hidden="false" customHeight="false" outlineLevel="0" collapsed="false">
      <c r="A12" s="8" t="s">
        <v>54</v>
      </c>
      <c r="B12" s="9" t="s">
        <v>55</v>
      </c>
      <c r="C12" s="8" t="s">
        <v>42</v>
      </c>
      <c r="D12" s="10" t="n">
        <f aca="false">SUMIFS(Register!$I:$I,Register!$F:$F,"1.06")</f>
        <v>129.686356</v>
      </c>
      <c r="E12" s="11"/>
      <c r="F12" s="10" t="n">
        <f aca="false">D12*E12</f>
        <v>0</v>
      </c>
      <c r="G12" s="9" t="s">
        <v>56</v>
      </c>
    </row>
    <row r="13" customFormat="false" ht="15" hidden="false" customHeight="false" outlineLevel="0" collapsed="false">
      <c r="A13" s="8" t="s">
        <v>57</v>
      </c>
      <c r="B13" s="9" t="s">
        <v>58</v>
      </c>
      <c r="C13" s="8" t="s">
        <v>42</v>
      </c>
      <c r="D13" s="10" t="n">
        <f aca="false">SUMIFS(Register!$K:$K,Register!$F:$F,"1.06")*Params!$B$7</f>
        <v>8.77519199999999</v>
      </c>
      <c r="E13" s="11"/>
      <c r="F13" s="10" t="n">
        <f aca="false">D13*E13</f>
        <v>0</v>
      </c>
      <c r="G13" s="9" t="s">
        <v>59</v>
      </c>
    </row>
    <row r="14" customFormat="false" ht="15" hidden="false" customHeight="false" outlineLevel="0" collapsed="false">
      <c r="A14" s="12"/>
      <c r="B14" s="13" t="s">
        <v>60</v>
      </c>
      <c r="C14" s="12"/>
      <c r="D14" s="12"/>
      <c r="E14" s="12"/>
      <c r="F14" s="14" t="n">
        <f aca="false">SUM(F6:F13)</f>
        <v>0</v>
      </c>
      <c r="G14" s="12"/>
    </row>
    <row r="16" customFormat="false" ht="15" hidden="false" customHeight="false" outlineLevel="0" collapsed="false">
      <c r="A16" s="6" t="s">
        <v>61</v>
      </c>
      <c r="B16" s="6" t="s">
        <v>62</v>
      </c>
      <c r="C16" s="7"/>
      <c r="D16" s="7"/>
      <c r="E16" s="7"/>
      <c r="F16" s="7"/>
      <c r="G16" s="7"/>
    </row>
    <row r="17" customFormat="false" ht="15" hidden="false" customHeight="false" outlineLevel="0" collapsed="false">
      <c r="A17" s="8" t="s">
        <v>63</v>
      </c>
      <c r="B17" s="9" t="s">
        <v>64</v>
      </c>
      <c r="C17" s="8" t="s">
        <v>65</v>
      </c>
      <c r="D17" s="15" t="n">
        <f aca="false">SUMIFS(Register!$N:$N,Register!$F:$F,"2.1.1")/1000</f>
        <v>0.902759999999997</v>
      </c>
      <c r="E17" s="11"/>
      <c r="F17" s="10" t="n">
        <f aca="false">D17*E17</f>
        <v>0</v>
      </c>
      <c r="G17" s="9" t="s">
        <v>66</v>
      </c>
    </row>
    <row r="18" customFormat="false" ht="15" hidden="false" customHeight="false" outlineLevel="0" collapsed="false">
      <c r="A18" s="8" t="s">
        <v>67</v>
      </c>
      <c r="B18" s="9" t="s">
        <v>68</v>
      </c>
      <c r="C18" s="8" t="s">
        <v>65</v>
      </c>
      <c r="D18" s="15" t="n">
        <f aca="false">SUMIFS(Register!$N:$N,Register!$F:$F,"2.1.2")/1000</f>
        <v>1.72838004588664</v>
      </c>
      <c r="E18" s="11"/>
      <c r="F18" s="10" t="n">
        <f aca="false">D18*E18</f>
        <v>0</v>
      </c>
      <c r="G18" s="9" t="s">
        <v>69</v>
      </c>
    </row>
    <row r="19" customFormat="false" ht="15" hidden="false" customHeight="false" outlineLevel="0" collapsed="false">
      <c r="A19" s="12"/>
      <c r="B19" s="13" t="s">
        <v>70</v>
      </c>
      <c r="C19" s="12"/>
      <c r="D19" s="12"/>
      <c r="E19" s="12"/>
      <c r="F19" s="14" t="n">
        <f aca="false">SUM(F17:F18)</f>
        <v>0</v>
      </c>
      <c r="G19" s="12"/>
    </row>
    <row r="21" customFormat="false" ht="15" hidden="false" customHeight="false" outlineLevel="0" collapsed="false">
      <c r="A21" s="6" t="s">
        <v>71</v>
      </c>
      <c r="B21" s="6" t="s">
        <v>72</v>
      </c>
      <c r="C21" s="7"/>
      <c r="D21" s="7"/>
      <c r="E21" s="7"/>
      <c r="F21" s="7"/>
      <c r="G21" s="7"/>
    </row>
    <row r="22" customFormat="false" ht="15" hidden="false" customHeight="false" outlineLevel="0" collapsed="false">
      <c r="A22" s="8" t="s">
        <v>73</v>
      </c>
      <c r="B22" s="9" t="s">
        <v>74</v>
      </c>
      <c r="C22" s="8" t="s">
        <v>42</v>
      </c>
      <c r="D22" s="10" t="n">
        <f aca="false">SUMIFS(Register!$I:$I,Register!$F:$F,"2.2.1")</f>
        <v>118.562765199999</v>
      </c>
      <c r="E22" s="11"/>
      <c r="F22" s="10" t="n">
        <f aca="false">D22*E22</f>
        <v>0</v>
      </c>
      <c r="G22" s="9" t="s">
        <v>75</v>
      </c>
    </row>
    <row r="23" customFormat="false" ht="15" hidden="false" customHeight="false" outlineLevel="0" collapsed="false">
      <c r="A23" s="12"/>
      <c r="B23" s="13" t="s">
        <v>76</v>
      </c>
      <c r="C23" s="12"/>
      <c r="D23" s="12"/>
      <c r="E23" s="12"/>
      <c r="F23" s="14" t="n">
        <f aca="false">SUM(F22:F22)</f>
        <v>0</v>
      </c>
      <c r="G23" s="12"/>
    </row>
    <row r="25" customFormat="false" ht="15" hidden="false" customHeight="false" outlineLevel="0" collapsed="false">
      <c r="A25" s="6" t="s">
        <v>77</v>
      </c>
      <c r="B25" s="6" t="s">
        <v>78</v>
      </c>
      <c r="C25" s="7"/>
      <c r="D25" s="7"/>
      <c r="E25" s="7"/>
      <c r="F25" s="7"/>
      <c r="G25" s="7"/>
    </row>
    <row r="26" customFormat="false" ht="23.85" hidden="false" customHeight="false" outlineLevel="0" collapsed="false">
      <c r="A26" s="8" t="s">
        <v>79</v>
      </c>
      <c r="B26" s="9" t="s">
        <v>80</v>
      </c>
      <c r="C26" s="8" t="s">
        <v>42</v>
      </c>
      <c r="D26" s="10" t="n">
        <f aca="false">SUMIFS(Register!$I:$I,Register!$F:$F,"2.3.1")</f>
        <v>132.92603598</v>
      </c>
      <c r="E26" s="11"/>
      <c r="F26" s="10" t="n">
        <f aca="false">D26*E26</f>
        <v>0</v>
      </c>
      <c r="G26" s="9" t="s">
        <v>81</v>
      </c>
    </row>
    <row r="27" customFormat="false" ht="15" hidden="false" customHeight="false" outlineLevel="0" collapsed="false">
      <c r="A27" s="8" t="s">
        <v>82</v>
      </c>
      <c r="B27" s="9" t="s">
        <v>83</v>
      </c>
      <c r="C27" s="8" t="s">
        <v>84</v>
      </c>
      <c r="D27" s="16" t="n">
        <f aca="false">SUMIFS(Register!$G:$G,Register!$F:$F,"2.3.2")</f>
        <v>2</v>
      </c>
      <c r="E27" s="11"/>
      <c r="F27" s="10" t="n">
        <f aca="false">D27*E27</f>
        <v>0</v>
      </c>
      <c r="G27" s="9" t="s">
        <v>85</v>
      </c>
    </row>
    <row r="28" customFormat="false" ht="15" hidden="false" customHeight="false" outlineLevel="0" collapsed="false">
      <c r="A28" s="12"/>
      <c r="B28" s="13" t="s">
        <v>86</v>
      </c>
      <c r="C28" s="12"/>
      <c r="D28" s="12"/>
      <c r="E28" s="12"/>
      <c r="F28" s="14" t="n">
        <f aca="false">SUM(F26:F27)</f>
        <v>0</v>
      </c>
      <c r="G28" s="12"/>
    </row>
    <row r="30" customFormat="false" ht="15" hidden="false" customHeight="false" outlineLevel="0" collapsed="false">
      <c r="A30" s="6" t="s">
        <v>87</v>
      </c>
      <c r="B30" s="6" t="s">
        <v>88</v>
      </c>
      <c r="C30" s="7"/>
      <c r="D30" s="7"/>
      <c r="E30" s="7"/>
      <c r="F30" s="7"/>
      <c r="G30" s="7"/>
    </row>
    <row r="31" customFormat="false" ht="23.85" hidden="false" customHeight="false" outlineLevel="0" collapsed="false">
      <c r="A31" s="8" t="s">
        <v>89</v>
      </c>
      <c r="B31" s="9" t="s">
        <v>90</v>
      </c>
      <c r="C31" s="8" t="s">
        <v>84</v>
      </c>
      <c r="D31" s="16" t="n">
        <f aca="false">SUMIFS(Register!$G:$G,Register!$F:$F,"2.4.1")</f>
        <v>2</v>
      </c>
      <c r="E31" s="11"/>
      <c r="F31" s="10" t="n">
        <f aca="false">D31*E31</f>
        <v>0</v>
      </c>
      <c r="G31" s="9" t="s">
        <v>91</v>
      </c>
    </row>
    <row r="32" customFormat="false" ht="15" hidden="false" customHeight="false" outlineLevel="0" collapsed="false">
      <c r="A32" s="8" t="s">
        <v>92</v>
      </c>
      <c r="B32" s="9" t="s">
        <v>93</v>
      </c>
      <c r="C32" s="8" t="s">
        <v>94</v>
      </c>
      <c r="D32" s="10" t="n">
        <f aca="false">SUMIFS(Register!$H:$H,Register!$F:$F,"2.4.2")</f>
        <v>9.48868569666022</v>
      </c>
      <c r="E32" s="11"/>
      <c r="F32" s="10" t="n">
        <f aca="false">D32*E32</f>
        <v>0</v>
      </c>
      <c r="G32" s="9" t="s">
        <v>95</v>
      </c>
    </row>
    <row r="33" customFormat="false" ht="15" hidden="false" customHeight="false" outlineLevel="0" collapsed="false">
      <c r="A33" s="8" t="s">
        <v>96</v>
      </c>
      <c r="B33" s="9" t="s">
        <v>97</v>
      </c>
      <c r="C33" s="8" t="s">
        <v>94</v>
      </c>
      <c r="D33" s="10" t="n">
        <f aca="false">SUMIFS(Register!$H:$H,Register!$F:$F,"2.4.3")</f>
        <v>16.6686856966602</v>
      </c>
      <c r="E33" s="11"/>
      <c r="F33" s="10" t="n">
        <f aca="false">D33*E33</f>
        <v>0</v>
      </c>
      <c r="G33" s="9" t="s">
        <v>95</v>
      </c>
    </row>
    <row r="34" customFormat="false" ht="15" hidden="false" customHeight="false" outlineLevel="0" collapsed="false">
      <c r="A34" s="12"/>
      <c r="B34" s="13" t="s">
        <v>98</v>
      </c>
      <c r="C34" s="12"/>
      <c r="D34" s="12"/>
      <c r="E34" s="12"/>
      <c r="F34" s="14" t="n">
        <f aca="false">SUM(F31:F33)</f>
        <v>0</v>
      </c>
      <c r="G34" s="12"/>
    </row>
    <row r="36" customFormat="false" ht="15" hidden="false" customHeight="false" outlineLevel="0" collapsed="false">
      <c r="A36" s="6" t="s">
        <v>99</v>
      </c>
      <c r="B36" s="6" t="s">
        <v>100</v>
      </c>
      <c r="C36" s="7"/>
      <c r="D36" s="7"/>
      <c r="E36" s="7"/>
      <c r="F36" s="7"/>
      <c r="G36" s="7"/>
    </row>
    <row r="37" customFormat="false" ht="23.85" hidden="false" customHeight="false" outlineLevel="0" collapsed="false">
      <c r="A37" s="8" t="s">
        <v>101</v>
      </c>
      <c r="B37" s="9" t="s">
        <v>102</v>
      </c>
      <c r="C37" s="8" t="s">
        <v>42</v>
      </c>
      <c r="D37" s="10" t="n">
        <f aca="false">SUMIFS(Register!$I:$I,Register!$F:$F,"2.5.1")+SUMIFS(Openings!$G:$G,Openings!$J:$J,"2.5.1",Openings!$G:$G,"&lt;="&amp;Params!$B$5)</f>
        <v>235.779228000011</v>
      </c>
      <c r="E37" s="11"/>
      <c r="F37" s="10" t="n">
        <f aca="false">D37*E37</f>
        <v>0</v>
      </c>
      <c r="G37" s="9" t="s">
        <v>103</v>
      </c>
    </row>
    <row r="38" customFormat="false" ht="23.85" hidden="false" customHeight="false" outlineLevel="0" collapsed="false">
      <c r="A38" s="8" t="s">
        <v>104</v>
      </c>
      <c r="B38" s="9" t="s">
        <v>105</v>
      </c>
      <c r="C38" s="8" t="s">
        <v>42</v>
      </c>
      <c r="D38" s="10" t="n">
        <f aca="false">SUMIFS(Register!$I:$I,Register!$F:$F,"2.5.2")+SUMIFS(Openings!$G:$G,Openings!$J:$J,"2.5.2",Openings!$G:$G,"&lt;="&amp;Params!$B$5)</f>
        <v>31.382988</v>
      </c>
      <c r="E38" s="11"/>
      <c r="F38" s="10" t="n">
        <f aca="false">D38*E38</f>
        <v>0</v>
      </c>
      <c r="G38" s="9" t="s">
        <v>103</v>
      </c>
    </row>
    <row r="39" customFormat="false" ht="15" hidden="false" customHeight="false" outlineLevel="0" collapsed="false">
      <c r="A39" s="12"/>
      <c r="B39" s="13" t="s">
        <v>106</v>
      </c>
      <c r="C39" s="12"/>
      <c r="D39" s="12"/>
      <c r="E39" s="12"/>
      <c r="F39" s="14" t="n">
        <f aca="false">SUM(F37:F38)</f>
        <v>0</v>
      </c>
      <c r="G39" s="12"/>
    </row>
    <row r="41" customFormat="false" ht="15" hidden="false" customHeight="false" outlineLevel="0" collapsed="false">
      <c r="A41" s="6" t="s">
        <v>107</v>
      </c>
      <c r="B41" s="6" t="s">
        <v>108</v>
      </c>
      <c r="C41" s="7"/>
      <c r="D41" s="7"/>
      <c r="E41" s="7"/>
      <c r="F41" s="7"/>
      <c r="G41" s="7"/>
    </row>
    <row r="42" customFormat="false" ht="15" hidden="false" customHeight="false" outlineLevel="0" collapsed="false">
      <c r="A42" s="8" t="s">
        <v>109</v>
      </c>
      <c r="B42" s="9" t="s">
        <v>110</v>
      </c>
      <c r="C42" s="8" t="s">
        <v>84</v>
      </c>
      <c r="D42" s="16" t="n">
        <f aca="false">SUMIFS(Register!$G:$G,Register!$F:$F,"2.6.1")</f>
        <v>2</v>
      </c>
      <c r="E42" s="11"/>
      <c r="F42" s="10" t="n">
        <f aca="false">D42*E42</f>
        <v>0</v>
      </c>
      <c r="G42" s="9" t="s">
        <v>85</v>
      </c>
    </row>
    <row r="43" customFormat="false" ht="15" hidden="false" customHeight="false" outlineLevel="0" collapsed="false">
      <c r="A43" s="8" t="s">
        <v>111</v>
      </c>
      <c r="B43" s="9" t="s">
        <v>112</v>
      </c>
      <c r="C43" s="8" t="s">
        <v>84</v>
      </c>
      <c r="D43" s="16" t="n">
        <f aca="false">SUMIFS(Register!$G:$G,Register!$F:$F,"2.6.2")</f>
        <v>4</v>
      </c>
      <c r="E43" s="11"/>
      <c r="F43" s="10" t="n">
        <f aca="false">D43*E43</f>
        <v>0</v>
      </c>
      <c r="G43" s="9" t="s">
        <v>85</v>
      </c>
    </row>
    <row r="44" customFormat="false" ht="15" hidden="false" customHeight="false" outlineLevel="0" collapsed="false">
      <c r="A44" s="8" t="s">
        <v>113</v>
      </c>
      <c r="B44" s="9" t="s">
        <v>114</v>
      </c>
      <c r="C44" s="8" t="s">
        <v>84</v>
      </c>
      <c r="D44" s="16" t="n">
        <f aca="false">SUMIFS(Register!$G:$G,Register!$F:$F,"2.6.3")</f>
        <v>4</v>
      </c>
      <c r="E44" s="11"/>
      <c r="F44" s="10" t="n">
        <f aca="false">D44*E44</f>
        <v>0</v>
      </c>
      <c r="G44" s="9" t="s">
        <v>85</v>
      </c>
    </row>
    <row r="45" customFormat="false" ht="15" hidden="false" customHeight="false" outlineLevel="0" collapsed="false">
      <c r="A45" s="8" t="s">
        <v>115</v>
      </c>
      <c r="B45" s="9" t="s">
        <v>116</v>
      </c>
      <c r="C45" s="8" t="s">
        <v>84</v>
      </c>
      <c r="D45" s="16" t="n">
        <f aca="false">SUMIFS(Register!$G:$G,Register!$F:$F,"2.6.4")</f>
        <v>8</v>
      </c>
      <c r="E45" s="11"/>
      <c r="F45" s="10" t="n">
        <f aca="false">D45*E45</f>
        <v>0</v>
      </c>
      <c r="G45" s="9" t="s">
        <v>85</v>
      </c>
    </row>
    <row r="46" customFormat="false" ht="15" hidden="false" customHeight="false" outlineLevel="0" collapsed="false">
      <c r="A46" s="8" t="s">
        <v>117</v>
      </c>
      <c r="B46" s="9" t="s">
        <v>118</v>
      </c>
      <c r="C46" s="8" t="s">
        <v>84</v>
      </c>
      <c r="D46" s="16" t="n">
        <f aca="false">SUMIFS(Register!$G:$G,Register!$F:$F,"2.6.5")</f>
        <v>4</v>
      </c>
      <c r="E46" s="11"/>
      <c r="F46" s="10" t="n">
        <f aca="false">D46*E46</f>
        <v>0</v>
      </c>
      <c r="G46" s="9" t="s">
        <v>85</v>
      </c>
    </row>
    <row r="47" customFormat="false" ht="15" hidden="false" customHeight="false" outlineLevel="0" collapsed="false">
      <c r="A47" s="8" t="s">
        <v>119</v>
      </c>
      <c r="B47" s="9" t="s">
        <v>120</v>
      </c>
      <c r="C47" s="8" t="s">
        <v>84</v>
      </c>
      <c r="D47" s="16" t="n">
        <f aca="false">SUMIFS(Register!$G:$G,Register!$F:$F,"2.6.6")</f>
        <v>2</v>
      </c>
      <c r="E47" s="11"/>
      <c r="F47" s="10" t="n">
        <f aca="false">D47*E47</f>
        <v>0</v>
      </c>
      <c r="G47" s="9" t="s">
        <v>85</v>
      </c>
    </row>
    <row r="48" customFormat="false" ht="15" hidden="false" customHeight="false" outlineLevel="0" collapsed="false">
      <c r="A48" s="8" t="s">
        <v>121</v>
      </c>
      <c r="B48" s="9" t="s">
        <v>122</v>
      </c>
      <c r="C48" s="8" t="s">
        <v>84</v>
      </c>
      <c r="D48" s="16" t="n">
        <f aca="false">SUMIFS(Register!$G:$G,Register!$F:$F,"2.6.7")</f>
        <v>2</v>
      </c>
      <c r="E48" s="11"/>
      <c r="F48" s="10" t="n">
        <f aca="false">D48*E48</f>
        <v>0</v>
      </c>
      <c r="G48" s="9" t="s">
        <v>85</v>
      </c>
    </row>
    <row r="49" customFormat="false" ht="15" hidden="false" customHeight="false" outlineLevel="0" collapsed="false">
      <c r="A49" s="12"/>
      <c r="B49" s="13" t="s">
        <v>123</v>
      </c>
      <c r="C49" s="12"/>
      <c r="D49" s="12"/>
      <c r="E49" s="12"/>
      <c r="F49" s="14" t="n">
        <f aca="false">SUM(F42:F48)</f>
        <v>0</v>
      </c>
      <c r="G49" s="12"/>
    </row>
    <row r="51" customFormat="false" ht="15" hidden="false" customHeight="false" outlineLevel="0" collapsed="false">
      <c r="A51" s="6" t="s">
        <v>124</v>
      </c>
      <c r="B51" s="6" t="s">
        <v>125</v>
      </c>
      <c r="C51" s="7"/>
      <c r="D51" s="7"/>
      <c r="E51" s="7"/>
      <c r="F51" s="7"/>
      <c r="G51" s="7"/>
    </row>
    <row r="52" customFormat="false" ht="23.85" hidden="false" customHeight="false" outlineLevel="0" collapsed="false">
      <c r="A52" s="8" t="s">
        <v>126</v>
      </c>
      <c r="B52" s="9" t="s">
        <v>127</v>
      </c>
      <c r="C52" s="8" t="s">
        <v>42</v>
      </c>
      <c r="D52" s="10" t="n">
        <f aca="false">SUMIFS(Register!$I:$I,Register!$F:$F,"2.7.1")+SUMIFS(Openings!$G:$G,Openings!$J:$J,"2.7.1",Openings!$G:$G,"&lt;="&amp;Params!$B$5)</f>
        <v>71.6695455818202</v>
      </c>
      <c r="E52" s="11"/>
      <c r="F52" s="10" t="n">
        <f aca="false">D52*E52</f>
        <v>0</v>
      </c>
      <c r="G52" s="9" t="s">
        <v>128</v>
      </c>
    </row>
    <row r="53" customFormat="false" ht="23.85" hidden="false" customHeight="false" outlineLevel="0" collapsed="false">
      <c r="A53" s="8" t="s">
        <v>129</v>
      </c>
      <c r="B53" s="9" t="s">
        <v>130</v>
      </c>
      <c r="C53" s="8" t="s">
        <v>42</v>
      </c>
      <c r="D53" s="10" t="n">
        <f aca="false">SUMIFS(Register!$I:$I,Register!$F:$F,"2.7.2")+SUMIFS(Openings!$G:$G,Openings!$J:$J,"2.7.2",Openings!$G:$G,"&lt;="&amp;Params!$B$5)</f>
        <v>106.395650000005</v>
      </c>
      <c r="E53" s="11"/>
      <c r="F53" s="10" t="n">
        <f aca="false">D53*E53</f>
        <v>0</v>
      </c>
      <c r="G53" s="9" t="s">
        <v>103</v>
      </c>
    </row>
    <row r="54" customFormat="false" ht="23.85" hidden="false" customHeight="false" outlineLevel="0" collapsed="false">
      <c r="A54" s="8" t="s">
        <v>131</v>
      </c>
      <c r="B54" s="9" t="s">
        <v>132</v>
      </c>
      <c r="C54" s="8" t="s">
        <v>42</v>
      </c>
      <c r="D54" s="10" t="n">
        <f aca="false">SUMIFS(Register!$I:$I,Register!$F:$F,"2.7.3")+SUMIFS(Openings!$G:$G,Openings!$J:$J,"2.7.3",Openings!$G:$G,"&lt;="&amp;Params!$B$5)</f>
        <v>9.39020000000006</v>
      </c>
      <c r="E54" s="11"/>
      <c r="F54" s="10" t="n">
        <f aca="false">D54*E54</f>
        <v>0</v>
      </c>
      <c r="G54" s="9" t="s">
        <v>103</v>
      </c>
    </row>
    <row r="55" customFormat="false" ht="23.85" hidden="false" customHeight="false" outlineLevel="0" collapsed="false">
      <c r="A55" s="8" t="s">
        <v>133</v>
      </c>
      <c r="B55" s="9" t="s">
        <v>134</v>
      </c>
      <c r="C55" s="8" t="s">
        <v>42</v>
      </c>
      <c r="D55" s="10" t="n">
        <f aca="false">SUMIFS(Register!$I:$I,Register!$F:$F,"2.7.4")+SUMIFS(Openings!$G:$G,Openings!$J:$J,"2.7.4",Openings!$G:$G,"&lt;="&amp;Params!$B$5)</f>
        <v>58.5566550000028</v>
      </c>
      <c r="E55" s="11"/>
      <c r="F55" s="10" t="n">
        <f aca="false">D55*E55</f>
        <v>0</v>
      </c>
      <c r="G55" s="9" t="s">
        <v>103</v>
      </c>
    </row>
    <row r="56" customFormat="false" ht="23.85" hidden="false" customHeight="false" outlineLevel="0" collapsed="false">
      <c r="A56" s="8" t="s">
        <v>135</v>
      </c>
      <c r="B56" s="9" t="s">
        <v>136</v>
      </c>
      <c r="C56" s="8" t="s">
        <v>42</v>
      </c>
      <c r="D56" s="10" t="n">
        <f aca="false">SUMIFS(Register!$I:$I,Register!$F:$F,"2.7.5")+SUMIFS(Openings!$G:$G,Openings!$J:$J,"2.7.5",Openings!$G:$G,"&lt;="&amp;Params!$B$5)</f>
        <v>2.55536640000006</v>
      </c>
      <c r="E56" s="11"/>
      <c r="F56" s="10" t="n">
        <f aca="false">D56*E56</f>
        <v>0</v>
      </c>
      <c r="G56" s="9" t="s">
        <v>103</v>
      </c>
    </row>
    <row r="57" customFormat="false" ht="15" hidden="false" customHeight="false" outlineLevel="0" collapsed="false">
      <c r="A57" s="12"/>
      <c r="B57" s="13" t="s">
        <v>137</v>
      </c>
      <c r="C57" s="12"/>
      <c r="D57" s="12"/>
      <c r="E57" s="12"/>
      <c r="F57" s="14" t="n">
        <f aca="false">SUM(F52:F56)</f>
        <v>0</v>
      </c>
      <c r="G57" s="12"/>
    </row>
    <row r="59" customFormat="false" ht="15" hidden="false" customHeight="false" outlineLevel="0" collapsed="false">
      <c r="A59" s="6" t="s">
        <v>138</v>
      </c>
      <c r="B59" s="6" t="s">
        <v>139</v>
      </c>
      <c r="C59" s="7"/>
      <c r="D59" s="7"/>
      <c r="E59" s="7"/>
      <c r="F59" s="7"/>
      <c r="G59" s="7"/>
    </row>
    <row r="60" customFormat="false" ht="15" hidden="false" customHeight="false" outlineLevel="0" collapsed="false">
      <c r="A60" s="8" t="s">
        <v>140</v>
      </c>
      <c r="B60" s="9" t="s">
        <v>141</v>
      </c>
      <c r="C60" s="8" t="s">
        <v>84</v>
      </c>
      <c r="D60" s="16" t="n">
        <f aca="false">SUMIFS(Register!$G:$G,Register!$F:$F,"2.8.1")</f>
        <v>4</v>
      </c>
      <c r="E60" s="11"/>
      <c r="F60" s="10" t="n">
        <f aca="false">D60*E60</f>
        <v>0</v>
      </c>
      <c r="G60" s="9" t="s">
        <v>85</v>
      </c>
    </row>
    <row r="61" customFormat="false" ht="15" hidden="false" customHeight="false" outlineLevel="0" collapsed="false">
      <c r="A61" s="8" t="s">
        <v>142</v>
      </c>
      <c r="B61" s="9" t="s">
        <v>143</v>
      </c>
      <c r="C61" s="8" t="s">
        <v>84</v>
      </c>
      <c r="D61" s="16" t="n">
        <f aca="false">SUMIFS(Register!$G:$G,Register!$F:$F,"2.8.2")</f>
        <v>6</v>
      </c>
      <c r="E61" s="11"/>
      <c r="F61" s="10" t="n">
        <f aca="false">D61*E61</f>
        <v>0</v>
      </c>
      <c r="G61" s="9" t="s">
        <v>85</v>
      </c>
    </row>
    <row r="62" customFormat="false" ht="15" hidden="false" customHeight="false" outlineLevel="0" collapsed="false">
      <c r="A62" s="12"/>
      <c r="B62" s="13" t="s">
        <v>144</v>
      </c>
      <c r="C62" s="12"/>
      <c r="D62" s="12"/>
      <c r="E62" s="12"/>
      <c r="F62" s="14" t="n">
        <f aca="false">SUM(F60:F61)</f>
        <v>0</v>
      </c>
      <c r="G62" s="12"/>
    </row>
    <row r="64" customFormat="false" ht="15" hidden="false" customHeight="false" outlineLevel="0" collapsed="false">
      <c r="A64" s="6" t="s">
        <v>145</v>
      </c>
      <c r="B64" s="6" t="s">
        <v>146</v>
      </c>
      <c r="C64" s="7"/>
      <c r="D64" s="7"/>
      <c r="E64" s="7"/>
      <c r="F64" s="7"/>
      <c r="G64" s="7"/>
    </row>
    <row r="65" customFormat="false" ht="15" hidden="false" customHeight="false" outlineLevel="0" collapsed="false">
      <c r="A65" s="8" t="s">
        <v>147</v>
      </c>
      <c r="B65" s="9" t="s">
        <v>148</v>
      </c>
      <c r="C65" s="8" t="s">
        <v>42</v>
      </c>
      <c r="D65" s="10" t="n">
        <f aca="false">SUMIFS(Materials!$H:$H,Materials!$E:$E,"Plasterboard",Materials!$C:$C,"Wall")</f>
        <v>703.185028563664</v>
      </c>
      <c r="E65" s="11"/>
      <c r="F65" s="10" t="n">
        <f aca="false">D65*E65</f>
        <v>0</v>
      </c>
      <c r="G65" s="9" t="s">
        <v>149</v>
      </c>
    </row>
    <row r="66" customFormat="false" ht="15" hidden="false" customHeight="false" outlineLevel="0" collapsed="false">
      <c r="A66" s="12"/>
      <c r="B66" s="13" t="s">
        <v>150</v>
      </c>
      <c r="C66" s="12"/>
      <c r="D66" s="12"/>
      <c r="E66" s="12"/>
      <c r="F66" s="14" t="n">
        <f aca="false">SUM(F65:F65)</f>
        <v>0</v>
      </c>
      <c r="G66" s="12"/>
    </row>
    <row r="68" customFormat="false" ht="15" hidden="false" customHeight="false" outlineLevel="0" collapsed="false">
      <c r="A68" s="6" t="s">
        <v>151</v>
      </c>
      <c r="B68" s="6" t="s">
        <v>152</v>
      </c>
      <c r="C68" s="7"/>
      <c r="D68" s="7"/>
      <c r="E68" s="7"/>
      <c r="F68" s="7"/>
      <c r="G68" s="7"/>
    </row>
    <row r="69" customFormat="false" ht="15" hidden="false" customHeight="false" outlineLevel="0" collapsed="false">
      <c r="A69" s="8" t="s">
        <v>153</v>
      </c>
      <c r="B69" s="9" t="s">
        <v>154</v>
      </c>
      <c r="C69" s="8" t="s">
        <v>42</v>
      </c>
      <c r="D69" s="10" t="n">
        <f aca="false">SUMIFS(Register!$I:$I,Register!$F:$F,"3.2.1")</f>
        <v>196.920615740546</v>
      </c>
      <c r="E69" s="11"/>
      <c r="F69" s="10" t="n">
        <f aca="false">D69*E69</f>
        <v>0</v>
      </c>
      <c r="G69" s="9" t="s">
        <v>75</v>
      </c>
    </row>
    <row r="70" customFormat="false" ht="15" hidden="false" customHeight="false" outlineLevel="0" collapsed="false">
      <c r="A70" s="8" t="s">
        <v>155</v>
      </c>
      <c r="B70" s="9" t="s">
        <v>156</v>
      </c>
      <c r="C70" s="8" t="s">
        <v>42</v>
      </c>
      <c r="D70" s="10" t="n">
        <f aca="false">SUMIFS(Register!$I:$I,Register!$F:$F,"3.2.2")</f>
        <v>44.9097719999997</v>
      </c>
      <c r="E70" s="11"/>
      <c r="F70" s="10" t="n">
        <f aca="false">D70*E70</f>
        <v>0</v>
      </c>
      <c r="G70" s="9" t="s">
        <v>75</v>
      </c>
    </row>
    <row r="71" customFormat="false" ht="15" hidden="false" customHeight="false" outlineLevel="0" collapsed="false">
      <c r="A71" s="12"/>
      <c r="B71" s="13" t="s">
        <v>157</v>
      </c>
      <c r="C71" s="12"/>
      <c r="D71" s="12"/>
      <c r="E71" s="12"/>
      <c r="F71" s="14" t="n">
        <f aca="false">SUM(F69:F70)</f>
        <v>0</v>
      </c>
      <c r="G71" s="12"/>
    </row>
    <row r="73" customFormat="false" ht="15" hidden="false" customHeight="false" outlineLevel="0" collapsed="false">
      <c r="A73" s="6" t="s">
        <v>158</v>
      </c>
      <c r="B73" s="6" t="s">
        <v>159</v>
      </c>
      <c r="C73" s="7"/>
      <c r="D73" s="7"/>
      <c r="E73" s="7"/>
      <c r="F73" s="7"/>
      <c r="G73" s="7"/>
    </row>
    <row r="74" customFormat="false" ht="15" hidden="false" customHeight="false" outlineLevel="0" collapsed="false">
      <c r="A74" s="8" t="s">
        <v>160</v>
      </c>
      <c r="B74" s="9" t="s">
        <v>161</v>
      </c>
      <c r="C74" s="8" t="s">
        <v>42</v>
      </c>
      <c r="D74" s="10" t="n">
        <f aca="false">SUMIFS(Register!$I:$I,Register!$F:$F,"3.3.1")</f>
        <v>243.458851179999</v>
      </c>
      <c r="E74" s="11"/>
      <c r="F74" s="10" t="n">
        <f aca="false">D74*E74</f>
        <v>0</v>
      </c>
      <c r="G74" s="9" t="s">
        <v>162</v>
      </c>
    </row>
    <row r="75" customFormat="false" ht="15" hidden="false" customHeight="false" outlineLevel="0" collapsed="false">
      <c r="A75" s="8" t="s">
        <v>163</v>
      </c>
      <c r="B75" s="9" t="s">
        <v>164</v>
      </c>
      <c r="C75" s="8" t="s">
        <v>42</v>
      </c>
      <c r="D75" s="10" t="n">
        <f aca="false">D74</f>
        <v>243.458851179999</v>
      </c>
      <c r="E75" s="11"/>
      <c r="F75" s="10" t="n">
        <f aca="false">D75*E75</f>
        <v>0</v>
      </c>
      <c r="G75" s="9" t="s">
        <v>165</v>
      </c>
    </row>
    <row r="76" customFormat="false" ht="15" hidden="false" customHeight="false" outlineLevel="0" collapsed="false">
      <c r="A76" s="12"/>
      <c r="B76" s="13" t="s">
        <v>166</v>
      </c>
      <c r="C76" s="12"/>
      <c r="D76" s="12"/>
      <c r="E76" s="12"/>
      <c r="F76" s="14" t="n">
        <f aca="false">SUM(F74:F75)</f>
        <v>0</v>
      </c>
      <c r="G76" s="12"/>
    </row>
    <row r="78" customFormat="false" ht="15" hidden="false" customHeight="false" outlineLevel="0" collapsed="false">
      <c r="A78" s="6" t="s">
        <v>167</v>
      </c>
      <c r="B78" s="6" t="s">
        <v>168</v>
      </c>
      <c r="C78" s="7"/>
      <c r="D78" s="7"/>
      <c r="E78" s="7"/>
      <c r="F78" s="7"/>
      <c r="G78" s="7"/>
    </row>
    <row r="79" customFormat="false" ht="15" hidden="false" customHeight="false" outlineLevel="0" collapsed="false">
      <c r="A79" s="8" t="s">
        <v>169</v>
      </c>
      <c r="B79" s="9" t="s">
        <v>170</v>
      </c>
      <c r="C79" s="8" t="s">
        <v>84</v>
      </c>
      <c r="D79" s="16" t="n">
        <f aca="false">SUMIFS(Register!$G:$G,Register!$F:$F,"4.1.1")</f>
        <v>16</v>
      </c>
      <c r="E79" s="11"/>
      <c r="F79" s="10" t="n">
        <f aca="false">D79*E79</f>
        <v>0</v>
      </c>
      <c r="G79" s="9" t="s">
        <v>85</v>
      </c>
    </row>
    <row r="80" customFormat="false" ht="15" hidden="false" customHeight="false" outlineLevel="0" collapsed="false">
      <c r="A80" s="8" t="s">
        <v>171</v>
      </c>
      <c r="B80" s="9" t="s">
        <v>172</v>
      </c>
      <c r="C80" s="8" t="s">
        <v>84</v>
      </c>
      <c r="D80" s="16" t="n">
        <f aca="false">SUMIFS(Register!$G:$G,Register!$F:$F,"4.1.2")</f>
        <v>8</v>
      </c>
      <c r="E80" s="11"/>
      <c r="F80" s="10" t="n">
        <f aca="false">D80*E80</f>
        <v>0</v>
      </c>
      <c r="G80" s="9" t="s">
        <v>173</v>
      </c>
    </row>
    <row r="81" customFormat="false" ht="15" hidden="false" customHeight="false" outlineLevel="0" collapsed="false">
      <c r="A81" s="8" t="s">
        <v>174</v>
      </c>
      <c r="B81" s="9" t="s">
        <v>175</v>
      </c>
      <c r="C81" s="8" t="s">
        <v>84</v>
      </c>
      <c r="D81" s="16" t="n">
        <f aca="false">SUMIFS(Register!$G:$G,Register!$F:$F,"4.1.3")</f>
        <v>8</v>
      </c>
      <c r="E81" s="11"/>
      <c r="F81" s="10" t="n">
        <f aca="false">D81*E81</f>
        <v>0</v>
      </c>
      <c r="G81" s="9" t="s">
        <v>85</v>
      </c>
    </row>
    <row r="82" customFormat="false" ht="15" hidden="false" customHeight="false" outlineLevel="0" collapsed="false">
      <c r="A82" s="8" t="s">
        <v>176</v>
      </c>
      <c r="B82" s="9" t="s">
        <v>177</v>
      </c>
      <c r="C82" s="8" t="s">
        <v>84</v>
      </c>
      <c r="D82" s="16" t="n">
        <f aca="false">SUMIFS(Register!$G:$G,Register!$F:$F,"4.1.4")</f>
        <v>2</v>
      </c>
      <c r="E82" s="11"/>
      <c r="F82" s="10" t="n">
        <f aca="false">D82*E82</f>
        <v>0</v>
      </c>
      <c r="G82" s="9" t="s">
        <v>178</v>
      </c>
    </row>
    <row r="83" customFormat="false" ht="15" hidden="false" customHeight="false" outlineLevel="0" collapsed="false">
      <c r="A83" s="8" t="s">
        <v>179</v>
      </c>
      <c r="B83" s="9" t="s">
        <v>180</v>
      </c>
      <c r="C83" s="8" t="s">
        <v>84</v>
      </c>
      <c r="D83" s="16" t="n">
        <f aca="false">SUMIFS(Register!$G:$G,Register!$F:$F,"4.1.5")</f>
        <v>4</v>
      </c>
      <c r="E83" s="11"/>
      <c r="F83" s="10" t="n">
        <f aca="false">D83*E83</f>
        <v>0</v>
      </c>
      <c r="G83" s="9" t="s">
        <v>178</v>
      </c>
    </row>
    <row r="84" customFormat="false" ht="15" hidden="false" customHeight="false" outlineLevel="0" collapsed="false">
      <c r="A84" s="8" t="s">
        <v>181</v>
      </c>
      <c r="B84" s="9" t="s">
        <v>182</v>
      </c>
      <c r="C84" s="8" t="s">
        <v>84</v>
      </c>
      <c r="D84" s="16" t="n">
        <f aca="false">SUMIFS(Register!$G:$G,Register!$F:$F,"4.1.6")</f>
        <v>1</v>
      </c>
      <c r="E84" s="11"/>
      <c r="F84" s="10" t="n">
        <f aca="false">D84*E84</f>
        <v>0</v>
      </c>
      <c r="G84" s="9" t="s">
        <v>85</v>
      </c>
    </row>
    <row r="85" customFormat="false" ht="15" hidden="false" customHeight="false" outlineLevel="0" collapsed="false">
      <c r="A85" s="8" t="s">
        <v>183</v>
      </c>
      <c r="B85" s="9" t="s">
        <v>184</v>
      </c>
      <c r="C85" s="8" t="s">
        <v>84</v>
      </c>
      <c r="D85" s="16" t="n">
        <f aca="false">SUMIFS(Register!$G:$G,Register!$F:$F,"4.1.7")</f>
        <v>4</v>
      </c>
      <c r="E85" s="11"/>
      <c r="F85" s="10" t="n">
        <f aca="false">D85*E85</f>
        <v>0</v>
      </c>
      <c r="G85" s="9" t="s">
        <v>85</v>
      </c>
    </row>
    <row r="86" customFormat="false" ht="15" hidden="false" customHeight="false" outlineLevel="0" collapsed="false">
      <c r="A86" s="8" t="s">
        <v>185</v>
      </c>
      <c r="B86" s="9" t="s">
        <v>186</v>
      </c>
      <c r="C86" s="8" t="s">
        <v>84</v>
      </c>
      <c r="D86" s="16" t="n">
        <f aca="false">SUMIFS(Register!$G:$G,Register!$F:$F,"4.2.1")</f>
        <v>2</v>
      </c>
      <c r="E86" s="11"/>
      <c r="F86" s="10" t="n">
        <f aca="false">D86*E86</f>
        <v>0</v>
      </c>
      <c r="G86" s="9" t="s">
        <v>187</v>
      </c>
    </row>
    <row r="87" customFormat="false" ht="15" hidden="false" customHeight="false" outlineLevel="0" collapsed="false">
      <c r="A87" s="8" t="s">
        <v>188</v>
      </c>
      <c r="B87" s="9" t="s">
        <v>189</v>
      </c>
      <c r="C87" s="8" t="s">
        <v>84</v>
      </c>
      <c r="D87" s="16" t="n">
        <f aca="false">SUMIFS(Register!$G:$G,Register!$F:$F,"4.2.2")</f>
        <v>2</v>
      </c>
      <c r="E87" s="11"/>
      <c r="F87" s="10" t="n">
        <f aca="false">D87*E87</f>
        <v>0</v>
      </c>
      <c r="G87" s="9" t="s">
        <v>85</v>
      </c>
    </row>
    <row r="88" customFormat="false" ht="15" hidden="false" customHeight="false" outlineLevel="0" collapsed="false">
      <c r="A88" s="8" t="s">
        <v>190</v>
      </c>
      <c r="B88" s="9" t="s">
        <v>191</v>
      </c>
      <c r="C88" s="8" t="s">
        <v>84</v>
      </c>
      <c r="D88" s="16" t="n">
        <f aca="false">SUMIFS(Register!$G:$G,Register!$F:$F,"4.2.3")</f>
        <v>4</v>
      </c>
      <c r="E88" s="11"/>
      <c r="F88" s="10" t="n">
        <f aca="false">D88*E88</f>
        <v>0</v>
      </c>
      <c r="G88" s="9" t="s">
        <v>85</v>
      </c>
    </row>
    <row r="89" customFormat="false" ht="15" hidden="false" customHeight="false" outlineLevel="0" collapsed="false">
      <c r="A89" s="8" t="s">
        <v>192</v>
      </c>
      <c r="B89" s="9" t="s">
        <v>193</v>
      </c>
      <c r="C89" s="8" t="s">
        <v>84</v>
      </c>
      <c r="D89" s="16" t="n">
        <f aca="false">SUMIFS(Register!$G:$G,Register!$F:$F,"4.2.4")</f>
        <v>8</v>
      </c>
      <c r="E89" s="11"/>
      <c r="F89" s="10" t="n">
        <f aca="false">D89*E89</f>
        <v>0</v>
      </c>
      <c r="G89" s="9" t="s">
        <v>85</v>
      </c>
    </row>
    <row r="90" customFormat="false" ht="15" hidden="false" customHeight="false" outlineLevel="0" collapsed="false">
      <c r="A90" s="8" t="s">
        <v>194</v>
      </c>
      <c r="B90" s="9" t="s">
        <v>195</v>
      </c>
      <c r="C90" s="8" t="s">
        <v>84</v>
      </c>
      <c r="D90" s="16" t="n">
        <f aca="false">SUMIFS(Register!$G:$G,Register!$F:$F,"4.2.5")</f>
        <v>2</v>
      </c>
      <c r="E90" s="11"/>
      <c r="F90" s="10" t="n">
        <f aca="false">D90*E90</f>
        <v>0</v>
      </c>
      <c r="G90" s="9" t="s">
        <v>85</v>
      </c>
    </row>
    <row r="91" customFormat="false" ht="15" hidden="false" customHeight="false" outlineLevel="0" collapsed="false">
      <c r="A91" s="12"/>
      <c r="B91" s="13" t="s">
        <v>196</v>
      </c>
      <c r="C91" s="12"/>
      <c r="D91" s="12"/>
      <c r="E91" s="12"/>
      <c r="F91" s="14" t="n">
        <f aca="false">SUM(F79:F90)</f>
        <v>0</v>
      </c>
      <c r="G91" s="12"/>
    </row>
    <row r="93" customFormat="false" ht="15" hidden="false" customHeight="false" outlineLevel="0" collapsed="false">
      <c r="A93" s="6" t="s">
        <v>197</v>
      </c>
      <c r="B93" s="6" t="s">
        <v>198</v>
      </c>
      <c r="C93" s="7"/>
      <c r="D93" s="7"/>
      <c r="E93" s="7"/>
      <c r="F93" s="7"/>
      <c r="G93" s="7"/>
    </row>
    <row r="94" customFormat="false" ht="15" hidden="false" customHeight="false" outlineLevel="0" collapsed="false">
      <c r="A94" s="8" t="s">
        <v>199</v>
      </c>
      <c r="B94" s="9" t="s">
        <v>200</v>
      </c>
      <c r="C94" s="8" t="s">
        <v>38</v>
      </c>
      <c r="D94" s="10" t="n">
        <f aca="false">SUMIFS(Register!$J:$J,Register!$F:$F,"8.1")</f>
        <v>7.62595716000003</v>
      </c>
      <c r="E94" s="11"/>
      <c r="F94" s="10" t="n">
        <f aca="false">D94*E94</f>
        <v>0</v>
      </c>
      <c r="G94" s="9" t="s">
        <v>46</v>
      </c>
    </row>
    <row r="95" customFormat="false" ht="15" hidden="false" customHeight="false" outlineLevel="0" collapsed="false">
      <c r="A95" s="8" t="s">
        <v>201</v>
      </c>
      <c r="B95" s="9" t="s">
        <v>202</v>
      </c>
      <c r="C95" s="8" t="s">
        <v>42</v>
      </c>
      <c r="D95" s="10" t="n">
        <f aca="false">SUMIFS(Register!$I:$I,Register!$F:$F,"8.1")</f>
        <v>50.8397144000002</v>
      </c>
      <c r="E95" s="11"/>
      <c r="F95" s="10" t="n">
        <f aca="false">D95*E95</f>
        <v>0</v>
      </c>
      <c r="G95" s="9" t="s">
        <v>56</v>
      </c>
    </row>
    <row r="96" customFormat="false" ht="15" hidden="false" customHeight="false" outlineLevel="0" collapsed="false">
      <c r="A96" s="8" t="s">
        <v>203</v>
      </c>
      <c r="B96" s="9" t="s">
        <v>204</v>
      </c>
      <c r="C96" s="8" t="s">
        <v>42</v>
      </c>
      <c r="D96" s="10" t="n">
        <f aca="false">SUMIFS(Register!$K:$K,Register!$F:$F,"8.1")*Params!$B$8</f>
        <v>6.10964040000001</v>
      </c>
      <c r="E96" s="11"/>
      <c r="F96" s="10" t="n">
        <f aca="false">D96*E96</f>
        <v>0</v>
      </c>
      <c r="G96" s="9" t="s">
        <v>59</v>
      </c>
    </row>
    <row r="97" customFormat="false" ht="15" hidden="false" customHeight="false" outlineLevel="0" collapsed="false">
      <c r="A97" s="12"/>
      <c r="B97" s="13" t="s">
        <v>205</v>
      </c>
      <c r="C97" s="12"/>
      <c r="D97" s="12"/>
      <c r="E97" s="12"/>
      <c r="F97" s="14" t="n">
        <f aca="false">SUM(F94:F96)</f>
        <v>0</v>
      </c>
      <c r="G97" s="12"/>
    </row>
    <row r="99" customFormat="false" ht="15" hidden="false" customHeight="false" outlineLevel="0" collapsed="false">
      <c r="A99" s="17"/>
      <c r="B99" s="18" t="s">
        <v>206</v>
      </c>
      <c r="C99" s="17"/>
      <c r="D99" s="17"/>
      <c r="E99" s="17"/>
      <c r="F99" s="19" t="n">
        <f aca="false">F14+F19+F23+F28+F34+F39+F49+F57+F62+F66+F71+F76+F91+F97</f>
        <v>0</v>
      </c>
      <c r="G99" s="17"/>
    </row>
    <row r="101" customFormat="false" ht="15" hidden="false" customHeight="false" outlineLevel="0" collapsed="false">
      <c r="B101" s="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4" min="11" style="0" width="10"/>
    <col collapsed="false" customWidth="true" hidden="false" outlineLevel="0" max="15" min="15" style="0" width="12"/>
    <col collapsed="false" customWidth="true" hidden="false" outlineLevel="0" max="18" min="16" style="0" width="11"/>
    <col collapsed="false" customWidth="true" hidden="false" outlineLevel="0" max="19" min="19" style="0" width="10"/>
    <col collapsed="false" customWidth="true" hidden="false" outlineLevel="0" max="20" min="20" style="0" width="90"/>
    <col collapsed="false" customWidth="true" hidden="false" outlineLevel="0" max="22" min="21" style="0" width="9"/>
  </cols>
  <sheetData>
    <row r="1" customFormat="false" ht="57.45" hidden="false" customHeight="false" outlineLevel="0" collapsed="false">
      <c r="A1" s="5" t="s">
        <v>208</v>
      </c>
      <c r="B1" s="5" t="s">
        <v>209</v>
      </c>
      <c r="C1" s="5" t="s">
        <v>210</v>
      </c>
      <c r="D1" s="5" t="s">
        <v>211</v>
      </c>
      <c r="E1" s="5" t="s">
        <v>212</v>
      </c>
      <c r="F1" s="5" t="s">
        <v>213</v>
      </c>
      <c r="G1" s="5" t="s">
        <v>85</v>
      </c>
      <c r="H1" s="5" t="s">
        <v>214</v>
      </c>
      <c r="I1" s="5" t="s">
        <v>215</v>
      </c>
      <c r="J1" s="5" t="s">
        <v>216</v>
      </c>
      <c r="K1" s="5" t="s">
        <v>217</v>
      </c>
      <c r="L1" s="5" t="s">
        <v>218</v>
      </c>
      <c r="M1" s="5" t="s">
        <v>219</v>
      </c>
      <c r="N1" s="5" t="s">
        <v>220</v>
      </c>
      <c r="O1" s="5" t="s">
        <v>221</v>
      </c>
      <c r="P1" s="5" t="s">
        <v>222</v>
      </c>
      <c r="Q1" s="5" t="s">
        <v>223</v>
      </c>
      <c r="R1" s="5" t="s">
        <v>224</v>
      </c>
      <c r="S1" s="5" t="s">
        <v>225</v>
      </c>
      <c r="T1" s="5" t="s">
        <v>226</v>
      </c>
      <c r="U1" s="5" t="s">
        <v>227</v>
      </c>
      <c r="V1" s="5" t="s">
        <v>228</v>
      </c>
    </row>
    <row r="2" customFormat="false" ht="15" hidden="false" customHeight="false" outlineLevel="0" collapsed="false">
      <c r="A2" s="20" t="s">
        <v>229</v>
      </c>
      <c r="B2" s="20" t="s">
        <v>230</v>
      </c>
      <c r="C2" s="20" t="s">
        <v>231</v>
      </c>
      <c r="D2" s="20" t="s">
        <v>232</v>
      </c>
      <c r="E2" s="20" t="s">
        <v>233</v>
      </c>
      <c r="F2" s="20" t="s">
        <v>36</v>
      </c>
      <c r="G2" s="20" t="n">
        <v>1</v>
      </c>
      <c r="H2" s="21" t="n">
        <v>17.383</v>
      </c>
      <c r="I2" s="21"/>
      <c r="J2" s="22" t="n">
        <v>4.93641</v>
      </c>
      <c r="K2" s="21"/>
      <c r="L2" s="20"/>
      <c r="M2" s="20"/>
      <c r="N2" s="23"/>
      <c r="O2" s="23"/>
      <c r="P2" s="21"/>
      <c r="Q2" s="22" t="n">
        <v>4.93641</v>
      </c>
      <c r="R2" s="22" t="n">
        <v>4.93640999999999</v>
      </c>
      <c r="S2" s="24" t="n">
        <f aca="false">(R2-Q2)/Q2</f>
        <v>0</v>
      </c>
      <c r="T2" s="20" t="s">
        <v>234</v>
      </c>
      <c r="U2" s="20"/>
      <c r="V2" s="20" t="s">
        <v>235</v>
      </c>
    </row>
    <row r="3" customFormat="false" ht="15" hidden="false" customHeight="false" outlineLevel="0" collapsed="false">
      <c r="A3" s="20" t="s">
        <v>236</v>
      </c>
      <c r="B3" s="20" t="s">
        <v>230</v>
      </c>
      <c r="C3" s="20" t="s">
        <v>231</v>
      </c>
      <c r="D3" s="20" t="s">
        <v>232</v>
      </c>
      <c r="E3" s="20" t="s">
        <v>233</v>
      </c>
      <c r="F3" s="20" t="s">
        <v>36</v>
      </c>
      <c r="G3" s="20" t="n">
        <v>1</v>
      </c>
      <c r="H3" s="21" t="n">
        <v>8.38299999999998</v>
      </c>
      <c r="I3" s="21"/>
      <c r="J3" s="22" t="n">
        <v>2.26341</v>
      </c>
      <c r="K3" s="21"/>
      <c r="L3" s="20"/>
      <c r="M3" s="20"/>
      <c r="N3" s="23"/>
      <c r="O3" s="23"/>
      <c r="P3" s="21"/>
      <c r="Q3" s="22" t="n">
        <v>2.26341</v>
      </c>
      <c r="R3" s="22" t="n">
        <v>2.26341</v>
      </c>
      <c r="S3" s="24" t="n">
        <f aca="false">(R3-Q3)/Q3</f>
        <v>0</v>
      </c>
      <c r="T3" s="20" t="s">
        <v>234</v>
      </c>
      <c r="U3" s="20"/>
      <c r="V3" s="20" t="s">
        <v>237</v>
      </c>
    </row>
    <row r="4" customFormat="false" ht="15" hidden="false" customHeight="false" outlineLevel="0" collapsed="false">
      <c r="A4" s="20" t="s">
        <v>238</v>
      </c>
      <c r="B4" s="20" t="s">
        <v>230</v>
      </c>
      <c r="C4" s="20" t="s">
        <v>231</v>
      </c>
      <c r="D4" s="20" t="s">
        <v>232</v>
      </c>
      <c r="E4" s="20" t="s">
        <v>233</v>
      </c>
      <c r="F4" s="20" t="s">
        <v>36</v>
      </c>
      <c r="G4" s="20" t="n">
        <v>1</v>
      </c>
      <c r="H4" s="21" t="n">
        <v>16.966</v>
      </c>
      <c r="I4" s="21"/>
      <c r="J4" s="22" t="n">
        <v>4.69341</v>
      </c>
      <c r="K4" s="21"/>
      <c r="L4" s="20"/>
      <c r="M4" s="20"/>
      <c r="N4" s="23"/>
      <c r="O4" s="23"/>
      <c r="P4" s="21"/>
      <c r="Q4" s="22" t="n">
        <v>4.69341</v>
      </c>
      <c r="R4" s="22" t="n">
        <v>4.69341</v>
      </c>
      <c r="S4" s="24" t="n">
        <f aca="false">(R4-Q4)/Q4</f>
        <v>0</v>
      </c>
      <c r="T4" s="20" t="s">
        <v>234</v>
      </c>
      <c r="U4" s="20"/>
      <c r="V4" s="20" t="s">
        <v>239</v>
      </c>
    </row>
    <row r="5" customFormat="false" ht="15" hidden="false" customHeight="false" outlineLevel="0" collapsed="false">
      <c r="A5" s="20" t="s">
        <v>240</v>
      </c>
      <c r="B5" s="20" t="s">
        <v>230</v>
      </c>
      <c r="C5" s="20" t="s">
        <v>231</v>
      </c>
      <c r="D5" s="20" t="s">
        <v>232</v>
      </c>
      <c r="E5" s="20" t="s">
        <v>233</v>
      </c>
      <c r="F5" s="20" t="s">
        <v>36</v>
      </c>
      <c r="G5" s="20" t="n">
        <v>1</v>
      </c>
      <c r="H5" s="21" t="n">
        <v>8.8</v>
      </c>
      <c r="I5" s="21"/>
      <c r="J5" s="22" t="n">
        <v>2.02041</v>
      </c>
      <c r="K5" s="21"/>
      <c r="L5" s="20"/>
      <c r="M5" s="20"/>
      <c r="N5" s="23"/>
      <c r="O5" s="23"/>
      <c r="P5" s="21"/>
      <c r="Q5" s="22" t="n">
        <v>2.02041</v>
      </c>
      <c r="R5" s="22" t="n">
        <v>2.02041</v>
      </c>
      <c r="S5" s="24" t="n">
        <f aca="false">(R5-Q5)/Q5</f>
        <v>0</v>
      </c>
      <c r="T5" s="20" t="s">
        <v>234</v>
      </c>
      <c r="U5" s="20"/>
      <c r="V5" s="20" t="s">
        <v>241</v>
      </c>
    </row>
    <row r="6" customFormat="false" ht="15" hidden="false" customHeight="false" outlineLevel="0" collapsed="false">
      <c r="A6" s="20" t="s">
        <v>242</v>
      </c>
      <c r="B6" s="20" t="s">
        <v>230</v>
      </c>
      <c r="C6" s="20" t="s">
        <v>231</v>
      </c>
      <c r="D6" s="20" t="s">
        <v>232</v>
      </c>
      <c r="E6" s="20" t="s">
        <v>233</v>
      </c>
      <c r="F6" s="20" t="s">
        <v>36</v>
      </c>
      <c r="G6" s="20" t="n">
        <v>1</v>
      </c>
      <c r="H6" s="21" t="n">
        <v>4.20049999999999</v>
      </c>
      <c r="I6" s="21"/>
      <c r="J6" s="22" t="n">
        <v>1.131705</v>
      </c>
      <c r="K6" s="21"/>
      <c r="L6" s="20"/>
      <c r="M6" s="20"/>
      <c r="N6" s="23"/>
      <c r="O6" s="23"/>
      <c r="P6" s="21"/>
      <c r="Q6" s="22" t="n">
        <v>1.131705</v>
      </c>
      <c r="R6" s="22" t="n">
        <v>1.131705</v>
      </c>
      <c r="S6" s="24" t="n">
        <f aca="false">(R6-Q6)/Q6</f>
        <v>0</v>
      </c>
      <c r="T6" s="20" t="s">
        <v>234</v>
      </c>
      <c r="U6" s="20"/>
      <c r="V6" s="20" t="s">
        <v>243</v>
      </c>
    </row>
    <row r="7" customFormat="false" ht="15" hidden="false" customHeight="false" outlineLevel="0" collapsed="false">
      <c r="A7" s="20" t="s">
        <v>244</v>
      </c>
      <c r="B7" s="20" t="s">
        <v>230</v>
      </c>
      <c r="C7" s="20" t="s">
        <v>231</v>
      </c>
      <c r="D7" s="20" t="s">
        <v>232</v>
      </c>
      <c r="E7" s="20" t="s">
        <v>233</v>
      </c>
      <c r="F7" s="20" t="s">
        <v>36</v>
      </c>
      <c r="G7" s="20" t="n">
        <v>1</v>
      </c>
      <c r="H7" s="21" t="n">
        <v>1.76500000000003</v>
      </c>
      <c r="I7" s="21"/>
      <c r="J7" s="22" t="n">
        <v>0.594000000000008</v>
      </c>
      <c r="K7" s="21"/>
      <c r="L7" s="20"/>
      <c r="M7" s="20"/>
      <c r="N7" s="23"/>
      <c r="O7" s="23"/>
      <c r="P7" s="21"/>
      <c r="Q7" s="22" t="n">
        <v>0.594000000000008</v>
      </c>
      <c r="R7" s="22" t="n">
        <v>0.594000000000009</v>
      </c>
      <c r="S7" s="24" t="n">
        <f aca="false">(R7-Q7)/Q7</f>
        <v>0</v>
      </c>
      <c r="T7" s="20" t="s">
        <v>234</v>
      </c>
      <c r="U7" s="20"/>
      <c r="V7" s="20" t="s">
        <v>245</v>
      </c>
    </row>
    <row r="8" customFormat="false" ht="15" hidden="false" customHeight="false" outlineLevel="0" collapsed="false">
      <c r="A8" s="20" t="s">
        <v>246</v>
      </c>
      <c r="B8" s="20" t="s">
        <v>230</v>
      </c>
      <c r="C8" s="20" t="s">
        <v>231</v>
      </c>
      <c r="D8" s="20" t="s">
        <v>232</v>
      </c>
      <c r="E8" s="20" t="s">
        <v>233</v>
      </c>
      <c r="F8" s="20" t="s">
        <v>36</v>
      </c>
      <c r="G8" s="20" t="n">
        <v>1</v>
      </c>
      <c r="H8" s="21" t="n">
        <v>4.20049999999999</v>
      </c>
      <c r="I8" s="21"/>
      <c r="J8" s="22" t="n">
        <v>0.888704999999997</v>
      </c>
      <c r="K8" s="21"/>
      <c r="L8" s="20"/>
      <c r="M8" s="20"/>
      <c r="N8" s="23"/>
      <c r="O8" s="23"/>
      <c r="P8" s="21"/>
      <c r="Q8" s="22" t="n">
        <v>0.888704999999997</v>
      </c>
      <c r="R8" s="22" t="n">
        <v>0.888704999999996</v>
      </c>
      <c r="S8" s="24" t="n">
        <f aca="false">(R8-Q8)/Q8</f>
        <v>0</v>
      </c>
      <c r="T8" s="20" t="s">
        <v>234</v>
      </c>
      <c r="U8" s="20"/>
      <c r="V8" s="20" t="s">
        <v>247</v>
      </c>
    </row>
    <row r="9" customFormat="false" ht="15" hidden="false" customHeight="false" outlineLevel="0" collapsed="false">
      <c r="A9" s="20" t="s">
        <v>248</v>
      </c>
      <c r="B9" s="20" t="s">
        <v>249</v>
      </c>
      <c r="C9" s="20" t="s">
        <v>250</v>
      </c>
      <c r="D9" s="20" t="s">
        <v>251</v>
      </c>
      <c r="E9" s="20" t="s">
        <v>233</v>
      </c>
      <c r="F9" s="20" t="s">
        <v>44</v>
      </c>
      <c r="G9" s="20" t="n">
        <v>1</v>
      </c>
      <c r="H9" s="21" t="n">
        <v>8.383</v>
      </c>
      <c r="I9" s="21" t="n">
        <f aca="false">IF(L9&gt;0,J9/(L9/1000),"")</f>
        <v>11</v>
      </c>
      <c r="J9" s="22" t="n">
        <v>4.587</v>
      </c>
      <c r="K9" s="21"/>
      <c r="L9" s="20" t="n">
        <v>417</v>
      </c>
      <c r="M9" s="20"/>
      <c r="N9" s="23"/>
      <c r="O9" s="23"/>
      <c r="P9" s="21" t="n">
        <v>11</v>
      </c>
      <c r="Q9" s="22" t="n">
        <v>4.587</v>
      </c>
      <c r="R9" s="22" t="n">
        <v>4.587</v>
      </c>
      <c r="S9" s="24" t="n">
        <f aca="false">(R9-Q9)/Q9</f>
        <v>0</v>
      </c>
      <c r="T9" s="20" t="s">
        <v>252</v>
      </c>
      <c r="U9" s="20"/>
      <c r="V9" s="20" t="s">
        <v>253</v>
      </c>
    </row>
    <row r="10" customFormat="false" ht="15" hidden="false" customHeight="false" outlineLevel="0" collapsed="false">
      <c r="A10" s="20" t="s">
        <v>254</v>
      </c>
      <c r="B10" s="20" t="s">
        <v>249</v>
      </c>
      <c r="C10" s="20" t="s">
        <v>250</v>
      </c>
      <c r="D10" s="20" t="s">
        <v>251</v>
      </c>
      <c r="E10" s="20" t="s">
        <v>233</v>
      </c>
      <c r="F10" s="20" t="s">
        <v>44</v>
      </c>
      <c r="G10" s="20" t="n">
        <v>1</v>
      </c>
      <c r="H10" s="21" t="n">
        <v>17.383</v>
      </c>
      <c r="I10" s="21" t="n">
        <f aca="false">IF(L10&gt;0,J10/(L10/1000),"")</f>
        <v>21.72875</v>
      </c>
      <c r="J10" s="22" t="n">
        <v>9.06088875</v>
      </c>
      <c r="K10" s="21"/>
      <c r="L10" s="20" t="n">
        <v>417</v>
      </c>
      <c r="M10" s="20"/>
      <c r="N10" s="23"/>
      <c r="O10" s="23"/>
      <c r="P10" s="21" t="n">
        <v>21.72875</v>
      </c>
      <c r="Q10" s="22" t="n">
        <v>9.06088875</v>
      </c>
      <c r="R10" s="22" t="n">
        <v>9.06088875</v>
      </c>
      <c r="S10" s="24" t="n">
        <f aca="false">(R10-Q10)/Q10</f>
        <v>0</v>
      </c>
      <c r="T10" s="20" t="s">
        <v>252</v>
      </c>
      <c r="U10" s="20"/>
      <c r="V10" s="20" t="s">
        <v>255</v>
      </c>
    </row>
    <row r="11" customFormat="false" ht="15" hidden="false" customHeight="false" outlineLevel="0" collapsed="false">
      <c r="A11" s="20" t="s">
        <v>256</v>
      </c>
      <c r="B11" s="20" t="s">
        <v>249</v>
      </c>
      <c r="C11" s="20" t="s">
        <v>250</v>
      </c>
      <c r="D11" s="20" t="s">
        <v>251</v>
      </c>
      <c r="E11" s="20" t="s">
        <v>233</v>
      </c>
      <c r="F11" s="20" t="s">
        <v>44</v>
      </c>
      <c r="G11" s="20" t="n">
        <v>1</v>
      </c>
      <c r="H11" s="21" t="n">
        <v>8.38299999999998</v>
      </c>
      <c r="I11" s="21" t="n">
        <f aca="false">IF(L11&gt;0,J11/(L11/1000),"")</f>
        <v>10.47875</v>
      </c>
      <c r="J11" s="22" t="n">
        <v>4.36963874999999</v>
      </c>
      <c r="K11" s="21"/>
      <c r="L11" s="20" t="n">
        <v>417</v>
      </c>
      <c r="M11" s="20"/>
      <c r="N11" s="23"/>
      <c r="O11" s="23"/>
      <c r="P11" s="21" t="n">
        <v>10.47875</v>
      </c>
      <c r="Q11" s="22" t="n">
        <v>4.36963874999999</v>
      </c>
      <c r="R11" s="22" t="n">
        <v>4.36963875</v>
      </c>
      <c r="S11" s="24" t="n">
        <f aca="false">(R11-Q11)/Q11</f>
        <v>0</v>
      </c>
      <c r="T11" s="20" t="s">
        <v>252</v>
      </c>
      <c r="U11" s="20"/>
      <c r="V11" s="20" t="s">
        <v>257</v>
      </c>
    </row>
    <row r="12" customFormat="false" ht="15" hidden="false" customHeight="false" outlineLevel="0" collapsed="false">
      <c r="A12" s="20" t="s">
        <v>258</v>
      </c>
      <c r="B12" s="20" t="s">
        <v>249</v>
      </c>
      <c r="C12" s="20" t="s">
        <v>250</v>
      </c>
      <c r="D12" s="20" t="s">
        <v>251</v>
      </c>
      <c r="E12" s="20" t="s">
        <v>233</v>
      </c>
      <c r="F12" s="20" t="s">
        <v>44</v>
      </c>
      <c r="G12" s="20" t="n">
        <v>1</v>
      </c>
      <c r="H12" s="21" t="n">
        <v>17.383</v>
      </c>
      <c r="I12" s="21" t="n">
        <f aca="false">IF(L12&gt;0,J12/(L12/1000),"")</f>
        <v>21.2075</v>
      </c>
      <c r="J12" s="22" t="n">
        <v>8.84352749999999</v>
      </c>
      <c r="K12" s="21"/>
      <c r="L12" s="20" t="n">
        <v>417</v>
      </c>
      <c r="M12" s="20"/>
      <c r="N12" s="23"/>
      <c r="O12" s="23"/>
      <c r="P12" s="21" t="n">
        <v>21.2075</v>
      </c>
      <c r="Q12" s="22" t="n">
        <v>8.84352749999999</v>
      </c>
      <c r="R12" s="22" t="n">
        <v>8.8435275</v>
      </c>
      <c r="S12" s="24" t="n">
        <f aca="false">(R12-Q12)/Q12</f>
        <v>0</v>
      </c>
      <c r="T12" s="20" t="s">
        <v>252</v>
      </c>
      <c r="U12" s="20"/>
      <c r="V12" s="20" t="s">
        <v>259</v>
      </c>
    </row>
    <row r="13" customFormat="false" ht="15" hidden="false" customHeight="false" outlineLevel="0" collapsed="false">
      <c r="A13" s="20" t="s">
        <v>260</v>
      </c>
      <c r="B13" s="20" t="s">
        <v>249</v>
      </c>
      <c r="C13" s="20" t="s">
        <v>250</v>
      </c>
      <c r="D13" s="20" t="s">
        <v>261</v>
      </c>
      <c r="E13" s="20" t="s">
        <v>233</v>
      </c>
      <c r="F13" s="20" t="s">
        <v>47</v>
      </c>
      <c r="G13" s="20" t="n">
        <v>1</v>
      </c>
      <c r="H13" s="21" t="n">
        <v>4.19149999999999</v>
      </c>
      <c r="I13" s="21" t="n">
        <f aca="false">IF(L13&gt;0,J13/(L13/1000),"")</f>
        <v>5.25062499999999</v>
      </c>
      <c r="J13" s="22" t="n">
        <v>2.284021875</v>
      </c>
      <c r="K13" s="21"/>
      <c r="L13" s="20" t="n">
        <v>435</v>
      </c>
      <c r="M13" s="20"/>
      <c r="N13" s="23"/>
      <c r="O13" s="23"/>
      <c r="P13" s="21" t="n">
        <v>5.25062499999999</v>
      </c>
      <c r="Q13" s="22" t="n">
        <v>2.284021875</v>
      </c>
      <c r="R13" s="22" t="n">
        <v>2.28402187500001</v>
      </c>
      <c r="S13" s="24" t="n">
        <f aca="false">(R13-Q13)/Q13</f>
        <v>4.27752585193668E-015</v>
      </c>
      <c r="T13" s="20" t="s">
        <v>252</v>
      </c>
      <c r="U13" s="20"/>
      <c r="V13" s="20" t="s">
        <v>262</v>
      </c>
    </row>
    <row r="14" customFormat="false" ht="15" hidden="false" customHeight="false" outlineLevel="0" collapsed="false">
      <c r="A14" s="20" t="s">
        <v>263</v>
      </c>
      <c r="B14" s="20" t="s">
        <v>249</v>
      </c>
      <c r="C14" s="20" t="s">
        <v>250</v>
      </c>
      <c r="D14" s="20" t="s">
        <v>261</v>
      </c>
      <c r="E14" s="20" t="s">
        <v>233</v>
      </c>
      <c r="F14" s="20" t="s">
        <v>47</v>
      </c>
      <c r="G14" s="20" t="n">
        <v>1</v>
      </c>
      <c r="H14" s="21" t="n">
        <v>4.19149999999999</v>
      </c>
      <c r="I14" s="21" t="n">
        <f aca="false">IF(L14&gt;0,J14/(L14/1000),"")</f>
        <v>5.250625</v>
      </c>
      <c r="J14" s="22" t="n">
        <v>2.284021875</v>
      </c>
      <c r="K14" s="21"/>
      <c r="L14" s="20" t="n">
        <v>435</v>
      </c>
      <c r="M14" s="20"/>
      <c r="N14" s="23"/>
      <c r="O14" s="23"/>
      <c r="P14" s="21" t="n">
        <v>5.25062499999999</v>
      </c>
      <c r="Q14" s="22" t="n">
        <v>2.284021875</v>
      </c>
      <c r="R14" s="22" t="n">
        <v>2.28402187500001</v>
      </c>
      <c r="S14" s="24" t="n">
        <f aca="false">(R14-Q14)/Q14</f>
        <v>3.88865986539698E-015</v>
      </c>
      <c r="T14" s="20" t="s">
        <v>252</v>
      </c>
      <c r="U14" s="20"/>
      <c r="V14" s="20" t="s">
        <v>264</v>
      </c>
    </row>
    <row r="15" customFormat="false" ht="15" hidden="false" customHeight="false" outlineLevel="0" collapsed="false">
      <c r="A15" s="20" t="s">
        <v>265</v>
      </c>
      <c r="B15" s="20" t="s">
        <v>249</v>
      </c>
      <c r="C15" s="20" t="s">
        <v>250</v>
      </c>
      <c r="D15" s="20" t="s">
        <v>261</v>
      </c>
      <c r="E15" s="20" t="s">
        <v>233</v>
      </c>
      <c r="F15" s="20" t="s">
        <v>47</v>
      </c>
      <c r="G15" s="20" t="n">
        <v>1</v>
      </c>
      <c r="H15" s="21" t="n">
        <v>2.20000000000003</v>
      </c>
      <c r="I15" s="21" t="n">
        <f aca="false">IF(L15&gt;0,J15/(L15/1000),"")</f>
        <v>1.98209500000003</v>
      </c>
      <c r="J15" s="22" t="n">
        <v>0.862211325000014</v>
      </c>
      <c r="K15" s="21"/>
      <c r="L15" s="20" t="n">
        <v>435</v>
      </c>
      <c r="M15" s="20"/>
      <c r="N15" s="23"/>
      <c r="O15" s="23"/>
      <c r="P15" s="21" t="n">
        <v>1.98209500000003</v>
      </c>
      <c r="Q15" s="22" t="n">
        <v>0.862211325000014</v>
      </c>
      <c r="R15" s="22" t="n">
        <v>0.862211325000016</v>
      </c>
      <c r="S15" s="24" t="n">
        <f aca="false">(R15-Q15)/Q15</f>
        <v>0</v>
      </c>
      <c r="T15" s="20" t="s">
        <v>252</v>
      </c>
      <c r="U15" s="20"/>
      <c r="V15" s="20" t="s">
        <v>266</v>
      </c>
    </row>
    <row r="16" customFormat="false" ht="15" hidden="false" customHeight="false" outlineLevel="0" collapsed="false">
      <c r="A16" s="20" t="s">
        <v>267</v>
      </c>
      <c r="B16" s="20" t="s">
        <v>268</v>
      </c>
      <c r="C16" s="20" t="s">
        <v>269</v>
      </c>
      <c r="D16" s="20" t="s">
        <v>270</v>
      </c>
      <c r="E16" s="20" t="s">
        <v>271</v>
      </c>
      <c r="F16" s="20" t="s">
        <v>52</v>
      </c>
      <c r="G16" s="20" t="n">
        <v>1</v>
      </c>
      <c r="H16" s="21"/>
      <c r="I16" s="21" t="n">
        <v>64.7799279999999</v>
      </c>
      <c r="J16" s="22" t="n">
        <v>8.22705085599999</v>
      </c>
      <c r="K16" s="21" t="n">
        <v>34.548</v>
      </c>
      <c r="L16" s="20" t="n">
        <v>127</v>
      </c>
      <c r="M16" s="20"/>
      <c r="N16" s="23"/>
      <c r="O16" s="23"/>
      <c r="P16" s="21" t="n">
        <v>64.7799279999999</v>
      </c>
      <c r="Q16" s="22" t="n">
        <v>8.22705085599999</v>
      </c>
      <c r="R16" s="22" t="n">
        <v>8.22705085599999</v>
      </c>
      <c r="S16" s="24" t="n">
        <f aca="false">(R16-Q16)/Q16</f>
        <v>0</v>
      </c>
      <c r="T16" s="20" t="s">
        <v>252</v>
      </c>
      <c r="U16" s="20"/>
      <c r="V16" s="20" t="s">
        <v>272</v>
      </c>
    </row>
    <row r="17" customFormat="false" ht="15" hidden="false" customHeight="false" outlineLevel="0" collapsed="false">
      <c r="A17" s="20" t="s">
        <v>273</v>
      </c>
      <c r="B17" s="20" t="s">
        <v>268</v>
      </c>
      <c r="C17" s="20" t="s">
        <v>269</v>
      </c>
      <c r="D17" s="20" t="s">
        <v>270</v>
      </c>
      <c r="E17" s="20" t="s">
        <v>271</v>
      </c>
      <c r="F17" s="20" t="s">
        <v>52</v>
      </c>
      <c r="G17" s="20" t="n">
        <v>1</v>
      </c>
      <c r="H17" s="21"/>
      <c r="I17" s="21" t="n">
        <v>64.9064279999998</v>
      </c>
      <c r="J17" s="22" t="n">
        <v>8.24311635599997</v>
      </c>
      <c r="K17" s="21" t="n">
        <v>34.548</v>
      </c>
      <c r="L17" s="20" t="n">
        <v>127</v>
      </c>
      <c r="M17" s="20"/>
      <c r="N17" s="23"/>
      <c r="O17" s="23"/>
      <c r="P17" s="21" t="n">
        <v>64.9064279999998</v>
      </c>
      <c r="Q17" s="22" t="n">
        <v>8.24311635599997</v>
      </c>
      <c r="R17" s="22" t="n">
        <v>8.24311635599997</v>
      </c>
      <c r="S17" s="24" t="n">
        <f aca="false">(R17-Q17)/Q17</f>
        <v>0</v>
      </c>
      <c r="T17" s="20" t="s">
        <v>252</v>
      </c>
      <c r="U17" s="20"/>
      <c r="V17" s="20" t="s">
        <v>274</v>
      </c>
    </row>
    <row r="18" customFormat="false" ht="15" hidden="false" customHeight="false" outlineLevel="0" collapsed="false">
      <c r="A18" s="20" t="s">
        <v>275</v>
      </c>
      <c r="B18" s="20" t="s">
        <v>276</v>
      </c>
      <c r="C18" s="20" t="s">
        <v>277</v>
      </c>
      <c r="D18" s="20" t="s">
        <v>278</v>
      </c>
      <c r="E18" s="20" t="s">
        <v>271</v>
      </c>
      <c r="F18" s="20" t="s">
        <v>63</v>
      </c>
      <c r="G18" s="20" t="n">
        <v>1</v>
      </c>
      <c r="H18" s="21" t="n">
        <v>7.52299999999997</v>
      </c>
      <c r="I18" s="21"/>
      <c r="J18" s="22" t="n">
        <v>0.0548775449799998</v>
      </c>
      <c r="K18" s="21"/>
      <c r="L18" s="20"/>
      <c r="M18" s="20" t="n">
        <v>60</v>
      </c>
      <c r="N18" s="23" t="n">
        <f aca="false">H18*M18</f>
        <v>451.379999999998</v>
      </c>
      <c r="O18" s="23" t="n">
        <f aca="false">J18*Params!$B$4</f>
        <v>430.788728092998</v>
      </c>
      <c r="P18" s="21"/>
      <c r="Q18" s="22" t="n">
        <v>0.0548775449799998</v>
      </c>
      <c r="R18" s="22" t="n">
        <v>0.0574776181346054</v>
      </c>
      <c r="S18" s="24" t="n">
        <f aca="false">(R18-Q18)/Q18</f>
        <v>0.0473795457787546</v>
      </c>
      <c r="T18" s="20" t="s">
        <v>279</v>
      </c>
      <c r="U18" s="25" t="s">
        <v>280</v>
      </c>
      <c r="V18" s="20" t="s">
        <v>281</v>
      </c>
    </row>
    <row r="19" customFormat="false" ht="15" hidden="false" customHeight="false" outlineLevel="0" collapsed="false">
      <c r="A19" s="20" t="s">
        <v>282</v>
      </c>
      <c r="B19" s="20" t="s">
        <v>276</v>
      </c>
      <c r="C19" s="20" t="s">
        <v>277</v>
      </c>
      <c r="D19" s="20" t="s">
        <v>278</v>
      </c>
      <c r="E19" s="20" t="s">
        <v>271</v>
      </c>
      <c r="F19" s="20" t="s">
        <v>63</v>
      </c>
      <c r="G19" s="20" t="n">
        <v>1</v>
      </c>
      <c r="H19" s="21" t="n">
        <v>7.52299999999997</v>
      </c>
      <c r="I19" s="21"/>
      <c r="J19" s="22" t="n">
        <v>0.0548775449799998</v>
      </c>
      <c r="K19" s="21"/>
      <c r="L19" s="20"/>
      <c r="M19" s="20" t="n">
        <v>60</v>
      </c>
      <c r="N19" s="23" t="n">
        <f aca="false">H19*M19</f>
        <v>451.379999999998</v>
      </c>
      <c r="O19" s="23" t="n">
        <f aca="false">J19*Params!$B$4</f>
        <v>430.788728092998</v>
      </c>
      <c r="P19" s="21"/>
      <c r="Q19" s="22" t="n">
        <v>0.0548775449799998</v>
      </c>
      <c r="R19" s="22" t="n">
        <v>0.0574776181346046</v>
      </c>
      <c r="S19" s="24" t="n">
        <f aca="false">(R19-Q19)/Q19</f>
        <v>0.047379545778741</v>
      </c>
      <c r="T19" s="20" t="s">
        <v>279</v>
      </c>
      <c r="U19" s="25" t="s">
        <v>280</v>
      </c>
      <c r="V19" s="20" t="s">
        <v>283</v>
      </c>
    </row>
    <row r="20" customFormat="false" ht="15" hidden="false" customHeight="false" outlineLevel="0" collapsed="false">
      <c r="A20" s="20" t="s">
        <v>284</v>
      </c>
      <c r="B20" s="20" t="s">
        <v>276</v>
      </c>
      <c r="C20" s="20" t="s">
        <v>277</v>
      </c>
      <c r="D20" s="20" t="s">
        <v>285</v>
      </c>
      <c r="E20" s="20" t="s">
        <v>271</v>
      </c>
      <c r="F20" s="20" t="s">
        <v>67</v>
      </c>
      <c r="G20" s="20" t="n">
        <v>1</v>
      </c>
      <c r="H20" s="21" t="n">
        <v>6.18188712042496</v>
      </c>
      <c r="I20" s="21"/>
      <c r="J20" s="22" t="n">
        <v>0.0463244656878742</v>
      </c>
      <c r="K20" s="21"/>
      <c r="L20" s="20"/>
      <c r="M20" s="20" t="n">
        <v>60</v>
      </c>
      <c r="N20" s="23" t="n">
        <f aca="false">H20*M20</f>
        <v>370.913227225497</v>
      </c>
      <c r="O20" s="23" t="n">
        <f aca="false">J20*Params!$B$4</f>
        <v>363.647055649812</v>
      </c>
      <c r="P20" s="21"/>
      <c r="Q20" s="22" t="n">
        <v>0.0463244656878742</v>
      </c>
      <c r="R20" s="22" t="n">
        <v>0.0479424614919506</v>
      </c>
      <c r="S20" s="24" t="n">
        <f aca="false">(R20-Q20)/Q20</f>
        <v>0.0349274574471762</v>
      </c>
      <c r="T20" s="20" t="s">
        <v>286</v>
      </c>
      <c r="U20" s="25" t="s">
        <v>280</v>
      </c>
      <c r="V20" s="20" t="s">
        <v>287</v>
      </c>
    </row>
    <row r="21" customFormat="false" ht="15" hidden="false" customHeight="false" outlineLevel="0" collapsed="false">
      <c r="A21" s="20" t="s">
        <v>288</v>
      </c>
      <c r="B21" s="20" t="s">
        <v>276</v>
      </c>
      <c r="C21" s="20" t="s">
        <v>277</v>
      </c>
      <c r="D21" s="20" t="s">
        <v>285</v>
      </c>
      <c r="E21" s="20" t="s">
        <v>271</v>
      </c>
      <c r="F21" s="20" t="s">
        <v>67</v>
      </c>
      <c r="G21" s="20" t="n">
        <v>1</v>
      </c>
      <c r="H21" s="21" t="n">
        <v>6.18188712042496</v>
      </c>
      <c r="I21" s="21"/>
      <c r="J21" s="22" t="n">
        <v>0.0463244656878742</v>
      </c>
      <c r="K21" s="21"/>
      <c r="L21" s="20"/>
      <c r="M21" s="20" t="n">
        <v>60</v>
      </c>
      <c r="N21" s="23" t="n">
        <f aca="false">H21*M21</f>
        <v>370.913227225497</v>
      </c>
      <c r="O21" s="23" t="n">
        <f aca="false">J21*Params!$B$4</f>
        <v>363.647055649812</v>
      </c>
      <c r="P21" s="21"/>
      <c r="Q21" s="22" t="n">
        <v>0.0463244656878742</v>
      </c>
      <c r="R21" s="22" t="n">
        <v>0.0479424614919503</v>
      </c>
      <c r="S21" s="24" t="n">
        <f aca="false">(R21-Q21)/Q21</f>
        <v>0.0349274574471707</v>
      </c>
      <c r="T21" s="20" t="s">
        <v>286</v>
      </c>
      <c r="U21" s="25" t="s">
        <v>280</v>
      </c>
      <c r="V21" s="20" t="s">
        <v>289</v>
      </c>
    </row>
    <row r="22" customFormat="false" ht="15" hidden="false" customHeight="false" outlineLevel="0" collapsed="false">
      <c r="A22" s="20" t="s">
        <v>290</v>
      </c>
      <c r="B22" s="20" t="s">
        <v>276</v>
      </c>
      <c r="C22" s="20" t="s">
        <v>277</v>
      </c>
      <c r="D22" s="20" t="s">
        <v>285</v>
      </c>
      <c r="E22" s="20" t="s">
        <v>291</v>
      </c>
      <c r="F22" s="20" t="s">
        <v>67</v>
      </c>
      <c r="G22" s="20" t="n">
        <v>1</v>
      </c>
      <c r="H22" s="21" t="n">
        <v>4.12127992863035</v>
      </c>
      <c r="I22" s="21"/>
      <c r="J22" s="22" t="n">
        <v>0.0308831408475859</v>
      </c>
      <c r="K22" s="21"/>
      <c r="L22" s="20"/>
      <c r="M22" s="20" t="n">
        <v>60</v>
      </c>
      <c r="N22" s="23" t="n">
        <f aca="false">H22*M22</f>
        <v>247.276795717821</v>
      </c>
      <c r="O22" s="23" t="n">
        <f aca="false">J22*Params!$B$4</f>
        <v>242.43265565355</v>
      </c>
      <c r="P22" s="21"/>
      <c r="Q22" s="22" t="n">
        <v>0.0308831408475859</v>
      </c>
      <c r="R22" s="22" t="n">
        <v>0.031961810435376</v>
      </c>
      <c r="S22" s="24" t="n">
        <f aca="false">(R22-Q22)/Q22</f>
        <v>0.0349274574472053</v>
      </c>
      <c r="T22" s="20" t="s">
        <v>286</v>
      </c>
      <c r="U22" s="25" t="s">
        <v>280</v>
      </c>
      <c r="V22" s="20" t="s">
        <v>292</v>
      </c>
    </row>
    <row r="23" customFormat="false" ht="15" hidden="false" customHeight="false" outlineLevel="0" collapsed="false">
      <c r="A23" s="20" t="s">
        <v>293</v>
      </c>
      <c r="B23" s="20" t="s">
        <v>276</v>
      </c>
      <c r="C23" s="20" t="s">
        <v>277</v>
      </c>
      <c r="D23" s="20" t="s">
        <v>285</v>
      </c>
      <c r="E23" s="20" t="s">
        <v>291</v>
      </c>
      <c r="F23" s="20" t="s">
        <v>67</v>
      </c>
      <c r="G23" s="20" t="n">
        <v>1</v>
      </c>
      <c r="H23" s="21" t="n">
        <v>4.1</v>
      </c>
      <c r="I23" s="21"/>
      <c r="J23" s="22" t="n">
        <v>0.0307236780000001</v>
      </c>
      <c r="K23" s="21"/>
      <c r="L23" s="20"/>
      <c r="M23" s="20" t="n">
        <v>60</v>
      </c>
      <c r="N23" s="23" t="n">
        <f aca="false">H23*M23</f>
        <v>246</v>
      </c>
      <c r="O23" s="23" t="n">
        <f aca="false">J23*Params!$B$4</f>
        <v>241.180872300001</v>
      </c>
      <c r="P23" s="21"/>
      <c r="Q23" s="22" t="n">
        <v>0.0307236780000001</v>
      </c>
      <c r="R23" s="22" t="n">
        <v>0.0317967779559669</v>
      </c>
      <c r="S23" s="24" t="n">
        <f aca="false">(R23-Q23)/Q23</f>
        <v>0.0349274574472111</v>
      </c>
      <c r="T23" s="20" t="s">
        <v>286</v>
      </c>
      <c r="U23" s="25" t="s">
        <v>280</v>
      </c>
      <c r="V23" s="20" t="s">
        <v>294</v>
      </c>
    </row>
    <row r="24" customFormat="false" ht="15" hidden="false" customHeight="false" outlineLevel="0" collapsed="false">
      <c r="A24" s="20" t="s">
        <v>295</v>
      </c>
      <c r="B24" s="20" t="s">
        <v>276</v>
      </c>
      <c r="C24" s="20" t="s">
        <v>277</v>
      </c>
      <c r="D24" s="20" t="s">
        <v>285</v>
      </c>
      <c r="E24" s="20" t="s">
        <v>291</v>
      </c>
      <c r="F24" s="20" t="s">
        <v>67</v>
      </c>
      <c r="G24" s="20" t="n">
        <v>1</v>
      </c>
      <c r="H24" s="21" t="n">
        <v>4.12127992863035</v>
      </c>
      <c r="I24" s="21"/>
      <c r="J24" s="22" t="n">
        <v>0.0308831408475859</v>
      </c>
      <c r="K24" s="21"/>
      <c r="L24" s="20"/>
      <c r="M24" s="20" t="n">
        <v>60</v>
      </c>
      <c r="N24" s="23" t="n">
        <f aca="false">H24*M24</f>
        <v>247.276795717821</v>
      </c>
      <c r="O24" s="23" t="n">
        <f aca="false">J24*Params!$B$4</f>
        <v>242.43265565355</v>
      </c>
      <c r="P24" s="21"/>
      <c r="Q24" s="22" t="n">
        <v>0.0308831408475859</v>
      </c>
      <c r="R24" s="22" t="n">
        <v>0.0319618104353732</v>
      </c>
      <c r="S24" s="24" t="n">
        <f aca="false">(R24-Q24)/Q24</f>
        <v>0.034927457447115</v>
      </c>
      <c r="T24" s="20" t="s">
        <v>286</v>
      </c>
      <c r="U24" s="25" t="s">
        <v>280</v>
      </c>
      <c r="V24" s="20" t="s">
        <v>296</v>
      </c>
    </row>
    <row r="25" customFormat="false" ht="15" hidden="false" customHeight="false" outlineLevel="0" collapsed="false">
      <c r="A25" s="20" t="s">
        <v>297</v>
      </c>
      <c r="B25" s="20" t="s">
        <v>276</v>
      </c>
      <c r="C25" s="20" t="s">
        <v>277</v>
      </c>
      <c r="D25" s="20" t="s">
        <v>285</v>
      </c>
      <c r="E25" s="20" t="s">
        <v>291</v>
      </c>
      <c r="F25" s="20" t="s">
        <v>67</v>
      </c>
      <c r="G25" s="20" t="n">
        <v>1</v>
      </c>
      <c r="H25" s="21" t="n">
        <v>4.1</v>
      </c>
      <c r="I25" s="21"/>
      <c r="J25" s="22" t="n">
        <v>0.0307236780000001</v>
      </c>
      <c r="K25" s="21"/>
      <c r="L25" s="20"/>
      <c r="M25" s="20" t="n">
        <v>60</v>
      </c>
      <c r="N25" s="23" t="n">
        <f aca="false">H25*M25</f>
        <v>246</v>
      </c>
      <c r="O25" s="23" t="n">
        <f aca="false">J25*Params!$B$4</f>
        <v>241.180872300001</v>
      </c>
      <c r="P25" s="21"/>
      <c r="Q25" s="22" t="n">
        <v>0.0307236780000001</v>
      </c>
      <c r="R25" s="22" t="n">
        <v>0.0317967779559668</v>
      </c>
      <c r="S25" s="24" t="n">
        <f aca="false">(R25-Q25)/Q25</f>
        <v>0.0349274574472062</v>
      </c>
      <c r="T25" s="20" t="s">
        <v>286</v>
      </c>
      <c r="U25" s="25" t="s">
        <v>280</v>
      </c>
      <c r="V25" s="20" t="s">
        <v>298</v>
      </c>
    </row>
    <row r="26" customFormat="false" ht="15" hidden="false" customHeight="false" outlineLevel="0" collapsed="false">
      <c r="A26" s="20" t="s">
        <v>299</v>
      </c>
      <c r="B26" s="20" t="s">
        <v>268</v>
      </c>
      <c r="C26" s="20" t="s">
        <v>269</v>
      </c>
      <c r="D26" s="20" t="s">
        <v>300</v>
      </c>
      <c r="E26" s="20" t="s">
        <v>291</v>
      </c>
      <c r="F26" s="20" t="s">
        <v>73</v>
      </c>
      <c r="G26" s="20" t="n">
        <v>1</v>
      </c>
      <c r="H26" s="21"/>
      <c r="I26" s="21" t="n">
        <v>59.2290175999996</v>
      </c>
      <c r="J26" s="22" t="n">
        <v>18.0648503679999</v>
      </c>
      <c r="K26" s="21" t="n">
        <v>43.4568</v>
      </c>
      <c r="L26" s="20" t="n">
        <v>305</v>
      </c>
      <c r="M26" s="20"/>
      <c r="N26" s="23"/>
      <c r="O26" s="23"/>
      <c r="P26" s="21" t="n">
        <v>59.2290175999996</v>
      </c>
      <c r="Q26" s="22" t="n">
        <v>18.0648503679999</v>
      </c>
      <c r="R26" s="22" t="n">
        <v>18.0648503679999</v>
      </c>
      <c r="S26" s="24" t="n">
        <f aca="false">(R26-Q26)/Q26</f>
        <v>0</v>
      </c>
      <c r="T26" s="20" t="s">
        <v>252</v>
      </c>
      <c r="U26" s="20"/>
      <c r="V26" s="20" t="s">
        <v>301</v>
      </c>
    </row>
    <row r="27" customFormat="false" ht="15" hidden="false" customHeight="false" outlineLevel="0" collapsed="false">
      <c r="A27" s="20" t="s">
        <v>302</v>
      </c>
      <c r="B27" s="20" t="s">
        <v>268</v>
      </c>
      <c r="C27" s="20" t="s">
        <v>269</v>
      </c>
      <c r="D27" s="20" t="s">
        <v>300</v>
      </c>
      <c r="E27" s="20" t="s">
        <v>291</v>
      </c>
      <c r="F27" s="20" t="s">
        <v>73</v>
      </c>
      <c r="G27" s="20" t="n">
        <v>1</v>
      </c>
      <c r="H27" s="21"/>
      <c r="I27" s="21" t="n">
        <v>59.3337475999997</v>
      </c>
      <c r="J27" s="22" t="n">
        <v>18.0967930179999</v>
      </c>
      <c r="K27" s="21" t="n">
        <v>43.3967999999999</v>
      </c>
      <c r="L27" s="20" t="n">
        <v>305</v>
      </c>
      <c r="M27" s="20"/>
      <c r="N27" s="23"/>
      <c r="O27" s="23"/>
      <c r="P27" s="21" t="n">
        <v>59.3337475999997</v>
      </c>
      <c r="Q27" s="22" t="n">
        <v>18.0967930179999</v>
      </c>
      <c r="R27" s="22" t="n">
        <v>18.0967930179999</v>
      </c>
      <c r="S27" s="24" t="n">
        <f aca="false">(R27-Q27)/Q27</f>
        <v>0</v>
      </c>
      <c r="T27" s="20" t="s">
        <v>252</v>
      </c>
      <c r="U27" s="20"/>
      <c r="V27" s="20" t="s">
        <v>303</v>
      </c>
    </row>
    <row r="28" customFormat="false" ht="15" hidden="false" customHeight="false" outlineLevel="0" collapsed="false">
      <c r="A28" s="20" t="s">
        <v>304</v>
      </c>
      <c r="B28" s="20" t="s">
        <v>305</v>
      </c>
      <c r="C28" s="20" t="s">
        <v>306</v>
      </c>
      <c r="D28" s="20" t="s">
        <v>307</v>
      </c>
      <c r="E28" s="20" t="s">
        <v>308</v>
      </c>
      <c r="F28" s="20" t="s">
        <v>79</v>
      </c>
      <c r="G28" s="20" t="n">
        <v>1</v>
      </c>
      <c r="H28" s="21"/>
      <c r="I28" s="21" t="n">
        <v>132.92603598</v>
      </c>
      <c r="J28" s="22" t="n">
        <v>60.7471984428598</v>
      </c>
      <c r="K28" s="21"/>
      <c r="L28" s="20" t="n">
        <v>457</v>
      </c>
      <c r="M28" s="20"/>
      <c r="N28" s="23"/>
      <c r="O28" s="23"/>
      <c r="P28" s="21" t="n">
        <v>132.92603598</v>
      </c>
      <c r="Q28" s="22" t="n">
        <v>60.7471984428598</v>
      </c>
      <c r="R28" s="22" t="n">
        <v>60.804398907402</v>
      </c>
      <c r="S28" s="24" t="n">
        <f aca="false">(R28-Q28)/Q28</f>
        <v>0.000941614856460579</v>
      </c>
      <c r="T28" s="20" t="s">
        <v>309</v>
      </c>
      <c r="U28" s="20"/>
      <c r="V28" s="20" t="s">
        <v>310</v>
      </c>
    </row>
    <row r="29" customFormat="false" ht="15" hidden="false" customHeight="false" outlineLevel="0" collapsed="false">
      <c r="A29" s="20" t="s">
        <v>311</v>
      </c>
      <c r="B29" s="20" t="s">
        <v>312</v>
      </c>
      <c r="C29" s="20" t="s">
        <v>313</v>
      </c>
      <c r="D29" s="20" t="s">
        <v>314</v>
      </c>
      <c r="E29" s="20" t="s">
        <v>308</v>
      </c>
      <c r="F29" s="20" t="s">
        <v>82</v>
      </c>
      <c r="G29" s="20" t="n">
        <v>1</v>
      </c>
      <c r="H29" s="21"/>
      <c r="I29" s="21"/>
      <c r="J29" s="22"/>
      <c r="K29" s="21"/>
      <c r="L29" s="20"/>
      <c r="M29" s="20"/>
      <c r="N29" s="23"/>
      <c r="O29" s="23"/>
      <c r="P29" s="21"/>
      <c r="Q29" s="22"/>
      <c r="R29" s="22" t="n">
        <v>0.0286002322710546</v>
      </c>
      <c r="S29" s="24"/>
      <c r="T29" s="20" t="s">
        <v>85</v>
      </c>
      <c r="U29" s="20"/>
      <c r="V29" s="20" t="s">
        <v>315</v>
      </c>
    </row>
    <row r="30" customFormat="false" ht="15" hidden="false" customHeight="false" outlineLevel="0" collapsed="false">
      <c r="A30" s="20" t="s">
        <v>316</v>
      </c>
      <c r="B30" s="20" t="s">
        <v>312</v>
      </c>
      <c r="C30" s="20" t="s">
        <v>313</v>
      </c>
      <c r="D30" s="20" t="s">
        <v>314</v>
      </c>
      <c r="E30" s="20" t="s">
        <v>308</v>
      </c>
      <c r="F30" s="20" t="s">
        <v>82</v>
      </c>
      <c r="G30" s="20" t="n">
        <v>1</v>
      </c>
      <c r="H30" s="21"/>
      <c r="I30" s="21"/>
      <c r="J30" s="22"/>
      <c r="K30" s="21"/>
      <c r="L30" s="20"/>
      <c r="M30" s="20"/>
      <c r="N30" s="23"/>
      <c r="O30" s="23"/>
      <c r="P30" s="21"/>
      <c r="Q30" s="22"/>
      <c r="R30" s="22" t="n">
        <v>0.0286002322710551</v>
      </c>
      <c r="S30" s="24"/>
      <c r="T30" s="20" t="s">
        <v>85</v>
      </c>
      <c r="U30" s="20"/>
      <c r="V30" s="20" t="s">
        <v>317</v>
      </c>
    </row>
    <row r="31" customFormat="false" ht="15" hidden="false" customHeight="false" outlineLevel="0" collapsed="false">
      <c r="A31" s="20" t="s">
        <v>318</v>
      </c>
      <c r="B31" s="20" t="s">
        <v>319</v>
      </c>
      <c r="C31" s="20" t="s">
        <v>320</v>
      </c>
      <c r="D31" s="20" t="s">
        <v>321</v>
      </c>
      <c r="E31" s="20" t="s">
        <v>271</v>
      </c>
      <c r="F31" s="20" t="s">
        <v>89</v>
      </c>
      <c r="G31" s="20" t="n">
        <v>1</v>
      </c>
      <c r="H31" s="21"/>
      <c r="I31" s="21"/>
      <c r="J31" s="22" t="n">
        <v>0.413433251358931</v>
      </c>
      <c r="K31" s="21"/>
      <c r="L31" s="20"/>
      <c r="M31" s="20"/>
      <c r="N31" s="23"/>
      <c r="O31" s="23"/>
      <c r="P31" s="21"/>
      <c r="Q31" s="22"/>
      <c r="R31" s="22" t="n">
        <v>0.413433251358931</v>
      </c>
      <c r="S31" s="24"/>
      <c r="T31" s="20" t="s">
        <v>322</v>
      </c>
      <c r="U31" s="20"/>
      <c r="V31" s="20" t="s">
        <v>323</v>
      </c>
    </row>
    <row r="32" customFormat="false" ht="15" hidden="false" customHeight="false" outlineLevel="0" collapsed="false">
      <c r="A32" s="20" t="s">
        <v>324</v>
      </c>
      <c r="B32" s="20" t="s">
        <v>319</v>
      </c>
      <c r="C32" s="20" t="s">
        <v>320</v>
      </c>
      <c r="D32" s="20" t="s">
        <v>321</v>
      </c>
      <c r="E32" s="20" t="s">
        <v>271</v>
      </c>
      <c r="F32" s="20" t="s">
        <v>89</v>
      </c>
      <c r="G32" s="20" t="n">
        <v>1</v>
      </c>
      <c r="H32" s="21"/>
      <c r="I32" s="21"/>
      <c r="J32" s="22" t="n">
        <v>0.410010846398944</v>
      </c>
      <c r="K32" s="21"/>
      <c r="L32" s="20"/>
      <c r="M32" s="20"/>
      <c r="N32" s="23"/>
      <c r="O32" s="23"/>
      <c r="P32" s="21"/>
      <c r="Q32" s="22"/>
      <c r="R32" s="22" t="n">
        <v>0.410010846398944</v>
      </c>
      <c r="S32" s="24"/>
      <c r="T32" s="20" t="s">
        <v>322</v>
      </c>
      <c r="U32" s="20"/>
      <c r="V32" s="20" t="s">
        <v>325</v>
      </c>
    </row>
    <row r="33" customFormat="false" ht="15" hidden="false" customHeight="false" outlineLevel="0" collapsed="false">
      <c r="A33" s="20" t="s">
        <v>326</v>
      </c>
      <c r="B33" s="20" t="s">
        <v>327</v>
      </c>
      <c r="C33" s="20" t="s">
        <v>328</v>
      </c>
      <c r="D33" s="20" t="s">
        <v>329</v>
      </c>
      <c r="E33" s="20" t="s">
        <v>271</v>
      </c>
      <c r="F33" s="20" t="s">
        <v>92</v>
      </c>
      <c r="G33" s="20" t="n">
        <v>1</v>
      </c>
      <c r="H33" s="21" t="n">
        <v>4.74434284833011</v>
      </c>
      <c r="I33" s="21"/>
      <c r="J33" s="22"/>
      <c r="K33" s="21"/>
      <c r="L33" s="20"/>
      <c r="M33" s="20"/>
      <c r="N33" s="23"/>
      <c r="O33" s="23"/>
      <c r="P33" s="21"/>
      <c r="Q33" s="22"/>
      <c r="R33" s="22" t="n">
        <v>0.0058940766144693</v>
      </c>
      <c r="S33" s="24"/>
      <c r="T33" s="20" t="s">
        <v>330</v>
      </c>
      <c r="U33" s="20"/>
      <c r="V33" s="20" t="s">
        <v>331</v>
      </c>
    </row>
    <row r="34" customFormat="false" ht="15" hidden="false" customHeight="false" outlineLevel="0" collapsed="false">
      <c r="A34" s="20" t="s">
        <v>332</v>
      </c>
      <c r="B34" s="20" t="s">
        <v>327</v>
      </c>
      <c r="C34" s="20" t="s">
        <v>328</v>
      </c>
      <c r="D34" s="20" t="s">
        <v>329</v>
      </c>
      <c r="E34" s="20" t="s">
        <v>271</v>
      </c>
      <c r="F34" s="20" t="s">
        <v>92</v>
      </c>
      <c r="G34" s="20" t="n">
        <v>1</v>
      </c>
      <c r="H34" s="21" t="n">
        <v>4.74434284833011</v>
      </c>
      <c r="I34" s="21"/>
      <c r="J34" s="22"/>
      <c r="K34" s="21"/>
      <c r="L34" s="20"/>
      <c r="M34" s="20"/>
      <c r="N34" s="23"/>
      <c r="O34" s="23"/>
      <c r="P34" s="21"/>
      <c r="Q34" s="22"/>
      <c r="R34" s="22" t="n">
        <v>0.00589404378229387</v>
      </c>
      <c r="S34" s="24"/>
      <c r="T34" s="20" t="s">
        <v>330</v>
      </c>
      <c r="U34" s="20"/>
      <c r="V34" s="20" t="s">
        <v>333</v>
      </c>
    </row>
    <row r="35" customFormat="false" ht="15" hidden="false" customHeight="false" outlineLevel="0" collapsed="false">
      <c r="A35" s="20" t="s">
        <v>334</v>
      </c>
      <c r="B35" s="20" t="s">
        <v>327</v>
      </c>
      <c r="C35" s="20" t="s">
        <v>328</v>
      </c>
      <c r="D35" s="20" t="s">
        <v>335</v>
      </c>
      <c r="E35" s="20" t="s">
        <v>271</v>
      </c>
      <c r="F35" s="20" t="s">
        <v>96</v>
      </c>
      <c r="G35" s="20" t="n">
        <v>1</v>
      </c>
      <c r="H35" s="21" t="n">
        <v>8.33434284833011</v>
      </c>
      <c r="I35" s="21"/>
      <c r="J35" s="22"/>
      <c r="K35" s="21"/>
      <c r="L35" s="20"/>
      <c r="M35" s="20"/>
      <c r="N35" s="23"/>
      <c r="O35" s="23"/>
      <c r="P35" s="21"/>
      <c r="Q35" s="22"/>
      <c r="R35" s="22" t="n">
        <v>0.0138512979926596</v>
      </c>
      <c r="S35" s="24"/>
      <c r="T35" s="20" t="s">
        <v>330</v>
      </c>
      <c r="U35" s="20"/>
      <c r="V35" s="20" t="s">
        <v>336</v>
      </c>
    </row>
    <row r="36" customFormat="false" ht="15" hidden="false" customHeight="false" outlineLevel="0" collapsed="false">
      <c r="A36" s="20" t="s">
        <v>337</v>
      </c>
      <c r="B36" s="20" t="s">
        <v>327</v>
      </c>
      <c r="C36" s="20" t="s">
        <v>328</v>
      </c>
      <c r="D36" s="20" t="s">
        <v>335</v>
      </c>
      <c r="E36" s="20" t="s">
        <v>271</v>
      </c>
      <c r="F36" s="20" t="s">
        <v>96</v>
      </c>
      <c r="G36" s="20" t="n">
        <v>1</v>
      </c>
      <c r="H36" s="21" t="n">
        <v>8.33434284833011</v>
      </c>
      <c r="I36" s="21"/>
      <c r="J36" s="22"/>
      <c r="K36" s="21"/>
      <c r="L36" s="20"/>
      <c r="M36" s="20"/>
      <c r="N36" s="23"/>
      <c r="O36" s="23"/>
      <c r="P36" s="21"/>
      <c r="Q36" s="22"/>
      <c r="R36" s="22" t="n">
        <v>0.0104289258648353</v>
      </c>
      <c r="S36" s="24"/>
      <c r="T36" s="20" t="s">
        <v>330</v>
      </c>
      <c r="U36" s="20"/>
      <c r="V36" s="20" t="s">
        <v>338</v>
      </c>
    </row>
    <row r="37" customFormat="false" ht="15" hidden="false" customHeight="false" outlineLevel="0" collapsed="false">
      <c r="A37" s="20" t="s">
        <v>339</v>
      </c>
      <c r="B37" s="20" t="s">
        <v>249</v>
      </c>
      <c r="C37" s="20" t="s">
        <v>250</v>
      </c>
      <c r="D37" s="20" t="s">
        <v>340</v>
      </c>
      <c r="E37" s="20" t="s">
        <v>271</v>
      </c>
      <c r="F37" s="20" t="s">
        <v>101</v>
      </c>
      <c r="G37" s="20" t="n">
        <v>1</v>
      </c>
      <c r="H37" s="21" t="n">
        <v>8.383</v>
      </c>
      <c r="I37" s="21" t="n">
        <f aca="false">IF(L37&gt;0,J37/(L37/1000),"")</f>
        <v>13.6118400000018</v>
      </c>
      <c r="J37" s="22" t="n">
        <v>5.67613728000073</v>
      </c>
      <c r="K37" s="21"/>
      <c r="L37" s="20" t="n">
        <v>417</v>
      </c>
      <c r="M37" s="20"/>
      <c r="N37" s="23"/>
      <c r="O37" s="23"/>
      <c r="P37" s="21" t="n">
        <v>13.6118400000017</v>
      </c>
      <c r="Q37" s="22" t="n">
        <v>5.67613728000073</v>
      </c>
      <c r="R37" s="22" t="n">
        <v>5.67613728000072</v>
      </c>
      <c r="S37" s="24" t="n">
        <f aca="false">(R37-Q37)/Q37</f>
        <v>0</v>
      </c>
      <c r="T37" s="20" t="s">
        <v>252</v>
      </c>
      <c r="U37" s="20"/>
      <c r="V37" s="20" t="s">
        <v>341</v>
      </c>
    </row>
    <row r="38" customFormat="false" ht="15" hidden="false" customHeight="false" outlineLevel="0" collapsed="false">
      <c r="A38" s="20" t="s">
        <v>342</v>
      </c>
      <c r="B38" s="20" t="s">
        <v>249</v>
      </c>
      <c r="C38" s="20" t="s">
        <v>250</v>
      </c>
      <c r="D38" s="20" t="s">
        <v>340</v>
      </c>
      <c r="E38" s="20" t="s">
        <v>271</v>
      </c>
      <c r="F38" s="20" t="s">
        <v>101</v>
      </c>
      <c r="G38" s="20" t="n">
        <v>1</v>
      </c>
      <c r="H38" s="21" t="n">
        <v>17.383</v>
      </c>
      <c r="I38" s="21" t="n">
        <f aca="false">IF(L38&gt;0,J38/(L38/1000),"")</f>
        <v>49.7248000000034</v>
      </c>
      <c r="J38" s="22" t="n">
        <v>20.7352416000014</v>
      </c>
      <c r="K38" s="21"/>
      <c r="L38" s="20" t="n">
        <v>417</v>
      </c>
      <c r="M38" s="20"/>
      <c r="N38" s="23"/>
      <c r="O38" s="23"/>
      <c r="P38" s="21" t="n">
        <v>49.7248000000033</v>
      </c>
      <c r="Q38" s="22" t="n">
        <v>20.7352416000014</v>
      </c>
      <c r="R38" s="22" t="n">
        <v>20.7352416000014</v>
      </c>
      <c r="S38" s="24" t="n">
        <f aca="false">(R38-Q38)/Q38</f>
        <v>0</v>
      </c>
      <c r="T38" s="20" t="s">
        <v>252</v>
      </c>
      <c r="U38" s="20"/>
      <c r="V38" s="20" t="s">
        <v>343</v>
      </c>
    </row>
    <row r="39" customFormat="false" ht="15" hidden="false" customHeight="false" outlineLevel="0" collapsed="false">
      <c r="A39" s="20" t="s">
        <v>344</v>
      </c>
      <c r="B39" s="20" t="s">
        <v>249</v>
      </c>
      <c r="C39" s="20" t="s">
        <v>250</v>
      </c>
      <c r="D39" s="20" t="s">
        <v>340</v>
      </c>
      <c r="E39" s="20" t="s">
        <v>271</v>
      </c>
      <c r="F39" s="20" t="s">
        <v>101</v>
      </c>
      <c r="G39" s="20" t="n">
        <v>1</v>
      </c>
      <c r="H39" s="21" t="n">
        <v>8.38299999999997</v>
      </c>
      <c r="I39" s="21" t="n">
        <f aca="false">IF(L39&gt;0,J39/(L39/1000),"")</f>
        <v>12.3191400000016</v>
      </c>
      <c r="J39" s="22" t="n">
        <v>5.13708138000066</v>
      </c>
      <c r="K39" s="21"/>
      <c r="L39" s="20" t="n">
        <v>417</v>
      </c>
      <c r="M39" s="20"/>
      <c r="N39" s="23"/>
      <c r="O39" s="23"/>
      <c r="P39" s="21" t="n">
        <v>12.3191400000016</v>
      </c>
      <c r="Q39" s="22" t="n">
        <v>5.13708138000066</v>
      </c>
      <c r="R39" s="22" t="n">
        <v>5.13708138000068</v>
      </c>
      <c r="S39" s="24" t="n">
        <f aca="false">(R39-Q39)/Q39</f>
        <v>0</v>
      </c>
      <c r="T39" s="20" t="s">
        <v>252</v>
      </c>
      <c r="U39" s="20"/>
      <c r="V39" s="20" t="s">
        <v>345</v>
      </c>
    </row>
    <row r="40" customFormat="false" ht="15" hidden="false" customHeight="false" outlineLevel="0" collapsed="false">
      <c r="A40" s="20" t="s">
        <v>346</v>
      </c>
      <c r="B40" s="20" t="s">
        <v>249</v>
      </c>
      <c r="C40" s="20" t="s">
        <v>250</v>
      </c>
      <c r="D40" s="20" t="s">
        <v>340</v>
      </c>
      <c r="E40" s="20" t="s">
        <v>271</v>
      </c>
      <c r="F40" s="20" t="s">
        <v>101</v>
      </c>
      <c r="G40" s="20" t="n">
        <v>1</v>
      </c>
      <c r="H40" s="21" t="n">
        <v>17.383</v>
      </c>
      <c r="I40" s="21" t="n">
        <f aca="false">IF(L40&gt;0,J40/(L40/1000),"")</f>
        <v>48.4321000000032</v>
      </c>
      <c r="J40" s="22" t="n">
        <v>20.1961857000014</v>
      </c>
      <c r="K40" s="21"/>
      <c r="L40" s="20" t="n">
        <v>417</v>
      </c>
      <c r="M40" s="20"/>
      <c r="N40" s="23"/>
      <c r="O40" s="23"/>
      <c r="P40" s="21" t="n">
        <v>48.4321000000033</v>
      </c>
      <c r="Q40" s="22" t="n">
        <v>20.1961857000014</v>
      </c>
      <c r="R40" s="22" t="n">
        <v>20.1961857000014</v>
      </c>
      <c r="S40" s="24" t="n">
        <f aca="false">(R40-Q40)/Q40</f>
        <v>0</v>
      </c>
      <c r="T40" s="20" t="s">
        <v>252</v>
      </c>
      <c r="U40" s="20"/>
      <c r="V40" s="20" t="s">
        <v>347</v>
      </c>
    </row>
    <row r="41" customFormat="false" ht="15" hidden="false" customHeight="false" outlineLevel="0" collapsed="false">
      <c r="A41" s="20" t="s">
        <v>348</v>
      </c>
      <c r="B41" s="20" t="s">
        <v>249</v>
      </c>
      <c r="C41" s="20" t="s">
        <v>250</v>
      </c>
      <c r="D41" s="20" t="s">
        <v>340</v>
      </c>
      <c r="E41" s="20" t="s">
        <v>291</v>
      </c>
      <c r="F41" s="20" t="s">
        <v>101</v>
      </c>
      <c r="G41" s="20" t="n">
        <v>1</v>
      </c>
      <c r="H41" s="21" t="n">
        <v>8.383</v>
      </c>
      <c r="I41" s="21" t="n">
        <f aca="false">IF(L41&gt;0,J41/(L41/1000),"")</f>
        <v>15.6978370000001</v>
      </c>
      <c r="J41" s="22" t="n">
        <v>6.54599802900005</v>
      </c>
      <c r="K41" s="21"/>
      <c r="L41" s="20" t="n">
        <v>417</v>
      </c>
      <c r="M41" s="20"/>
      <c r="N41" s="23"/>
      <c r="O41" s="23"/>
      <c r="P41" s="21" t="n">
        <v>16.9071370000001</v>
      </c>
      <c r="Q41" s="22" t="n">
        <v>6.54599802900005</v>
      </c>
      <c r="R41" s="22" t="n">
        <v>6.54599802900005</v>
      </c>
      <c r="S41" s="24" t="n">
        <f aca="false">(R41-Q41)/Q41</f>
        <v>0</v>
      </c>
      <c r="T41" s="20" t="s">
        <v>349</v>
      </c>
      <c r="U41" s="26" t="s">
        <v>350</v>
      </c>
      <c r="V41" s="20" t="s">
        <v>351</v>
      </c>
    </row>
    <row r="42" customFormat="false" ht="15" hidden="false" customHeight="false" outlineLevel="0" collapsed="false">
      <c r="A42" s="20" t="s">
        <v>352</v>
      </c>
      <c r="B42" s="20" t="s">
        <v>249</v>
      </c>
      <c r="C42" s="20" t="s">
        <v>250</v>
      </c>
      <c r="D42" s="20" t="s">
        <v>340</v>
      </c>
      <c r="E42" s="20" t="s">
        <v>291</v>
      </c>
      <c r="F42" s="20" t="s">
        <v>101</v>
      </c>
      <c r="G42" s="20" t="n">
        <v>1</v>
      </c>
      <c r="H42" s="21" t="n">
        <v>17.383</v>
      </c>
      <c r="I42" s="21" t="n">
        <f aca="false">IF(L42&gt;0,J42/(L42/1000),"")</f>
        <v>40.1478370000002</v>
      </c>
      <c r="J42" s="22" t="n">
        <v>16.7416480290001</v>
      </c>
      <c r="K42" s="21"/>
      <c r="L42" s="20" t="n">
        <v>417</v>
      </c>
      <c r="M42" s="20"/>
      <c r="N42" s="23"/>
      <c r="O42" s="23"/>
      <c r="P42" s="21" t="n">
        <v>41.3571370000002</v>
      </c>
      <c r="Q42" s="22" t="n">
        <v>16.7416480290001</v>
      </c>
      <c r="R42" s="22" t="n">
        <v>16.741648029</v>
      </c>
      <c r="S42" s="24" t="n">
        <f aca="false">(R42-Q42)/Q42</f>
        <v>0</v>
      </c>
      <c r="T42" s="20" t="s">
        <v>353</v>
      </c>
      <c r="U42" s="26" t="s">
        <v>350</v>
      </c>
      <c r="V42" s="20" t="s">
        <v>354</v>
      </c>
    </row>
    <row r="43" customFormat="false" ht="15" hidden="false" customHeight="false" outlineLevel="0" collapsed="false">
      <c r="A43" s="20" t="s">
        <v>355</v>
      </c>
      <c r="B43" s="20" t="s">
        <v>249</v>
      </c>
      <c r="C43" s="20" t="s">
        <v>250</v>
      </c>
      <c r="D43" s="20" t="s">
        <v>340</v>
      </c>
      <c r="E43" s="20" t="s">
        <v>291</v>
      </c>
      <c r="F43" s="20" t="s">
        <v>101</v>
      </c>
      <c r="G43" s="20" t="n">
        <v>1</v>
      </c>
      <c r="H43" s="21" t="n">
        <v>8.38299999999997</v>
      </c>
      <c r="I43" s="21" t="n">
        <f aca="false">IF(L43&gt;0,J43/(L43/1000),"")</f>
        <v>15.6978370000001</v>
      </c>
      <c r="J43" s="22" t="n">
        <v>6.54599802900002</v>
      </c>
      <c r="K43" s="21"/>
      <c r="L43" s="20" t="n">
        <v>417</v>
      </c>
      <c r="M43" s="20"/>
      <c r="N43" s="23"/>
      <c r="O43" s="23"/>
      <c r="P43" s="21" t="n">
        <v>16.907137</v>
      </c>
      <c r="Q43" s="22" t="n">
        <v>6.54599802900002</v>
      </c>
      <c r="R43" s="22" t="n">
        <v>6.54599802900004</v>
      </c>
      <c r="S43" s="24" t="n">
        <f aca="false">(R43-Q43)/Q43</f>
        <v>0</v>
      </c>
      <c r="T43" s="20" t="s">
        <v>349</v>
      </c>
      <c r="U43" s="26" t="s">
        <v>350</v>
      </c>
      <c r="V43" s="20" t="s">
        <v>356</v>
      </c>
    </row>
    <row r="44" customFormat="false" ht="15" hidden="false" customHeight="false" outlineLevel="0" collapsed="false">
      <c r="A44" s="20" t="s">
        <v>357</v>
      </c>
      <c r="B44" s="20" t="s">
        <v>249</v>
      </c>
      <c r="C44" s="20" t="s">
        <v>250</v>
      </c>
      <c r="D44" s="20" t="s">
        <v>340</v>
      </c>
      <c r="E44" s="20" t="s">
        <v>291</v>
      </c>
      <c r="F44" s="20" t="s">
        <v>101</v>
      </c>
      <c r="G44" s="20" t="n">
        <v>1</v>
      </c>
      <c r="H44" s="21" t="n">
        <v>17.383</v>
      </c>
      <c r="I44" s="21" t="n">
        <f aca="false">IF(L44&gt;0,J44/(L44/1000),"")</f>
        <v>40.1478370000002</v>
      </c>
      <c r="J44" s="22" t="n">
        <v>16.7416480290001</v>
      </c>
      <c r="K44" s="21"/>
      <c r="L44" s="20" t="n">
        <v>417</v>
      </c>
      <c r="M44" s="20"/>
      <c r="N44" s="23"/>
      <c r="O44" s="23"/>
      <c r="P44" s="21" t="n">
        <v>41.3571370000002</v>
      </c>
      <c r="Q44" s="22" t="n">
        <v>16.7416480290001</v>
      </c>
      <c r="R44" s="22" t="n">
        <v>16.7416480290001</v>
      </c>
      <c r="S44" s="24" t="n">
        <f aca="false">(R44-Q44)/Q44</f>
        <v>0</v>
      </c>
      <c r="T44" s="20" t="s">
        <v>353</v>
      </c>
      <c r="U44" s="26" t="s">
        <v>350</v>
      </c>
      <c r="V44" s="20" t="s">
        <v>358</v>
      </c>
    </row>
    <row r="45" customFormat="false" ht="15" hidden="false" customHeight="false" outlineLevel="0" collapsed="false">
      <c r="A45" s="20" t="s">
        <v>359</v>
      </c>
      <c r="B45" s="20" t="s">
        <v>249</v>
      </c>
      <c r="C45" s="20" t="s">
        <v>250</v>
      </c>
      <c r="D45" s="20" t="s">
        <v>340</v>
      </c>
      <c r="E45" s="20" t="s">
        <v>308</v>
      </c>
      <c r="F45" s="20" t="s">
        <v>104</v>
      </c>
      <c r="G45" s="20" t="n">
        <v>1</v>
      </c>
      <c r="H45" s="21" t="n">
        <v>8.383</v>
      </c>
      <c r="I45" s="21" t="n">
        <f aca="false">IF(L45&gt;0,J45/(L45/1000),"")</f>
        <v>5.3592</v>
      </c>
      <c r="J45" s="22" t="n">
        <v>2.2347864</v>
      </c>
      <c r="K45" s="21"/>
      <c r="L45" s="20" t="n">
        <v>417</v>
      </c>
      <c r="M45" s="20"/>
      <c r="N45" s="23"/>
      <c r="O45" s="23"/>
      <c r="P45" s="21" t="n">
        <v>5.3592</v>
      </c>
      <c r="Q45" s="22" t="n">
        <v>2.2347864</v>
      </c>
      <c r="R45" s="22" t="n">
        <v>2.2347864</v>
      </c>
      <c r="S45" s="24" t="n">
        <f aca="false">(R45-Q45)/Q45</f>
        <v>0</v>
      </c>
      <c r="T45" s="20" t="s">
        <v>252</v>
      </c>
      <c r="U45" s="20"/>
      <c r="V45" s="20" t="s">
        <v>360</v>
      </c>
    </row>
    <row r="46" customFormat="false" ht="15" hidden="false" customHeight="false" outlineLevel="0" collapsed="false">
      <c r="A46" s="20" t="s">
        <v>361</v>
      </c>
      <c r="B46" s="20" t="s">
        <v>249</v>
      </c>
      <c r="C46" s="20" t="s">
        <v>250</v>
      </c>
      <c r="D46" s="20" t="s">
        <v>340</v>
      </c>
      <c r="E46" s="20" t="s">
        <v>308</v>
      </c>
      <c r="F46" s="20" t="s">
        <v>104</v>
      </c>
      <c r="G46" s="20" t="n">
        <v>1</v>
      </c>
      <c r="H46" s="21" t="n">
        <v>17.383</v>
      </c>
      <c r="I46" s="21" t="n">
        <f aca="false">IF(L46&gt;0,J46/(L46/1000),"")</f>
        <v>10.586247</v>
      </c>
      <c r="J46" s="22" t="n">
        <v>4.414464999</v>
      </c>
      <c r="K46" s="21"/>
      <c r="L46" s="20" t="n">
        <v>417</v>
      </c>
      <c r="M46" s="20"/>
      <c r="N46" s="23"/>
      <c r="O46" s="23"/>
      <c r="P46" s="21" t="n">
        <v>10.586247</v>
      </c>
      <c r="Q46" s="22" t="n">
        <v>4.414464999</v>
      </c>
      <c r="R46" s="22" t="n">
        <v>4.41446499900002</v>
      </c>
      <c r="S46" s="24" t="n">
        <f aca="false">(R46-Q46)/Q46</f>
        <v>4.6275378007823E-015</v>
      </c>
      <c r="T46" s="20" t="s">
        <v>252</v>
      </c>
      <c r="U46" s="20"/>
      <c r="V46" s="20" t="s">
        <v>362</v>
      </c>
    </row>
    <row r="47" customFormat="false" ht="15" hidden="false" customHeight="false" outlineLevel="0" collapsed="false">
      <c r="A47" s="20" t="s">
        <v>363</v>
      </c>
      <c r="B47" s="20" t="s">
        <v>249</v>
      </c>
      <c r="C47" s="20" t="s">
        <v>250</v>
      </c>
      <c r="D47" s="20" t="s">
        <v>340</v>
      </c>
      <c r="E47" s="20" t="s">
        <v>308</v>
      </c>
      <c r="F47" s="20" t="s">
        <v>104</v>
      </c>
      <c r="G47" s="20" t="n">
        <v>1</v>
      </c>
      <c r="H47" s="21" t="n">
        <v>8.38299999999997</v>
      </c>
      <c r="I47" s="21" t="n">
        <f aca="false">IF(L47&gt;0,J47/(L47/1000),"")</f>
        <v>5.10524699999999</v>
      </c>
      <c r="J47" s="22" t="n">
        <v>2.128887999</v>
      </c>
      <c r="K47" s="21"/>
      <c r="L47" s="20" t="n">
        <v>417</v>
      </c>
      <c r="M47" s="20"/>
      <c r="N47" s="23"/>
      <c r="O47" s="23"/>
      <c r="P47" s="21" t="n">
        <v>5.10524699999999</v>
      </c>
      <c r="Q47" s="22" t="n">
        <v>2.128887999</v>
      </c>
      <c r="R47" s="22" t="n">
        <v>2.128887999</v>
      </c>
      <c r="S47" s="24" t="n">
        <f aca="false">(R47-Q47)/Q47</f>
        <v>0</v>
      </c>
      <c r="T47" s="20" t="s">
        <v>252</v>
      </c>
      <c r="U47" s="20"/>
      <c r="V47" s="20" t="s">
        <v>364</v>
      </c>
    </row>
    <row r="48" customFormat="false" ht="15" hidden="false" customHeight="false" outlineLevel="0" collapsed="false">
      <c r="A48" s="20" t="s">
        <v>365</v>
      </c>
      <c r="B48" s="20" t="s">
        <v>249</v>
      </c>
      <c r="C48" s="20" t="s">
        <v>250</v>
      </c>
      <c r="D48" s="20" t="s">
        <v>340</v>
      </c>
      <c r="E48" s="20" t="s">
        <v>308</v>
      </c>
      <c r="F48" s="20" t="s">
        <v>104</v>
      </c>
      <c r="G48" s="20" t="n">
        <v>1</v>
      </c>
      <c r="H48" s="21" t="n">
        <v>17.383</v>
      </c>
      <c r="I48" s="21" t="n">
        <f aca="false">IF(L48&gt;0,J48/(L48/1000),"")</f>
        <v>10.332294</v>
      </c>
      <c r="J48" s="22" t="n">
        <v>4.308566598</v>
      </c>
      <c r="K48" s="21"/>
      <c r="L48" s="20" t="n">
        <v>417</v>
      </c>
      <c r="M48" s="20"/>
      <c r="N48" s="23"/>
      <c r="O48" s="23"/>
      <c r="P48" s="21" t="n">
        <v>10.332294</v>
      </c>
      <c r="Q48" s="22" t="n">
        <v>4.308566598</v>
      </c>
      <c r="R48" s="22" t="n">
        <v>4.30856659799999</v>
      </c>
      <c r="S48" s="24" t="n">
        <f aca="false">(R48-Q48)/Q48</f>
        <v>0</v>
      </c>
      <c r="T48" s="20" t="s">
        <v>252</v>
      </c>
      <c r="U48" s="20"/>
      <c r="V48" s="20" t="s">
        <v>366</v>
      </c>
    </row>
    <row r="49" customFormat="false" ht="15" hidden="false" customHeight="false" outlineLevel="0" collapsed="false">
      <c r="A49" s="20" t="s">
        <v>367</v>
      </c>
      <c r="B49" s="20" t="s">
        <v>312</v>
      </c>
      <c r="C49" s="20" t="s">
        <v>368</v>
      </c>
      <c r="D49" s="20" t="s">
        <v>369</v>
      </c>
      <c r="E49" s="20" t="s">
        <v>271</v>
      </c>
      <c r="F49" s="20" t="s">
        <v>109</v>
      </c>
      <c r="G49" s="20" t="n">
        <v>1</v>
      </c>
      <c r="H49" s="21"/>
      <c r="I49" s="21"/>
      <c r="J49" s="22"/>
      <c r="K49" s="21"/>
      <c r="L49" s="20"/>
      <c r="M49" s="20"/>
      <c r="N49" s="23"/>
      <c r="O49" s="23"/>
      <c r="P49" s="21"/>
      <c r="Q49" s="22"/>
      <c r="R49" s="22" t="n">
        <v>0.337282497999984</v>
      </c>
      <c r="S49" s="24"/>
      <c r="T49" s="20" t="s">
        <v>85</v>
      </c>
      <c r="U49" s="20"/>
      <c r="V49" s="20" t="s">
        <v>370</v>
      </c>
    </row>
    <row r="50" customFormat="false" ht="15" hidden="false" customHeight="false" outlineLevel="0" collapsed="false">
      <c r="A50" s="20" t="s">
        <v>371</v>
      </c>
      <c r="B50" s="20" t="s">
        <v>312</v>
      </c>
      <c r="C50" s="20" t="s">
        <v>368</v>
      </c>
      <c r="D50" s="20" t="s">
        <v>369</v>
      </c>
      <c r="E50" s="20" t="s">
        <v>271</v>
      </c>
      <c r="F50" s="20" t="s">
        <v>109</v>
      </c>
      <c r="G50" s="20" t="n">
        <v>1</v>
      </c>
      <c r="H50" s="21"/>
      <c r="I50" s="21"/>
      <c r="J50" s="22"/>
      <c r="K50" s="21"/>
      <c r="L50" s="20"/>
      <c r="M50" s="20"/>
      <c r="N50" s="23"/>
      <c r="O50" s="23"/>
      <c r="P50" s="21"/>
      <c r="Q50" s="22"/>
      <c r="R50" s="22" t="n">
        <v>0.337282497999994</v>
      </c>
      <c r="S50" s="24"/>
      <c r="T50" s="20" t="s">
        <v>85</v>
      </c>
      <c r="U50" s="20"/>
      <c r="V50" s="20" t="s">
        <v>372</v>
      </c>
    </row>
    <row r="51" customFormat="false" ht="15" hidden="false" customHeight="false" outlineLevel="0" collapsed="false">
      <c r="A51" s="20" t="s">
        <v>373</v>
      </c>
      <c r="B51" s="20" t="s">
        <v>312</v>
      </c>
      <c r="C51" s="20" t="s">
        <v>368</v>
      </c>
      <c r="D51" s="20" t="s">
        <v>374</v>
      </c>
      <c r="E51" s="20" t="s">
        <v>291</v>
      </c>
      <c r="F51" s="20" t="s">
        <v>111</v>
      </c>
      <c r="G51" s="20" t="n">
        <v>1</v>
      </c>
      <c r="H51" s="21"/>
      <c r="I51" s="21"/>
      <c r="J51" s="22"/>
      <c r="K51" s="21"/>
      <c r="L51" s="20"/>
      <c r="M51" s="20"/>
      <c r="N51" s="23"/>
      <c r="O51" s="23"/>
      <c r="P51" s="21"/>
      <c r="Q51" s="22"/>
      <c r="R51" s="22" t="n">
        <v>0.221796647999994</v>
      </c>
      <c r="S51" s="24"/>
      <c r="T51" s="20" t="s">
        <v>85</v>
      </c>
      <c r="U51" s="20"/>
      <c r="V51" s="20" t="s">
        <v>375</v>
      </c>
    </row>
    <row r="52" customFormat="false" ht="15" hidden="false" customHeight="false" outlineLevel="0" collapsed="false">
      <c r="A52" s="20" t="s">
        <v>376</v>
      </c>
      <c r="B52" s="20" t="s">
        <v>312</v>
      </c>
      <c r="C52" s="20" t="s">
        <v>368</v>
      </c>
      <c r="D52" s="20" t="s">
        <v>374</v>
      </c>
      <c r="E52" s="20" t="s">
        <v>291</v>
      </c>
      <c r="F52" s="20" t="s">
        <v>111</v>
      </c>
      <c r="G52" s="20" t="n">
        <v>1</v>
      </c>
      <c r="H52" s="21"/>
      <c r="I52" s="21"/>
      <c r="J52" s="22"/>
      <c r="K52" s="21"/>
      <c r="L52" s="20"/>
      <c r="M52" s="20"/>
      <c r="N52" s="23"/>
      <c r="O52" s="23"/>
      <c r="P52" s="21"/>
      <c r="Q52" s="22"/>
      <c r="R52" s="22" t="n">
        <v>0.221796647999998</v>
      </c>
      <c r="S52" s="24"/>
      <c r="T52" s="20" t="s">
        <v>85</v>
      </c>
      <c r="U52" s="20"/>
      <c r="V52" s="20" t="s">
        <v>377</v>
      </c>
    </row>
    <row r="53" customFormat="false" ht="15" hidden="false" customHeight="false" outlineLevel="0" collapsed="false">
      <c r="A53" s="20" t="s">
        <v>378</v>
      </c>
      <c r="B53" s="20" t="s">
        <v>312</v>
      </c>
      <c r="C53" s="20" t="s">
        <v>368</v>
      </c>
      <c r="D53" s="20" t="s">
        <v>374</v>
      </c>
      <c r="E53" s="20" t="s">
        <v>291</v>
      </c>
      <c r="F53" s="20" t="s">
        <v>111</v>
      </c>
      <c r="G53" s="20" t="n">
        <v>1</v>
      </c>
      <c r="H53" s="21"/>
      <c r="I53" s="21"/>
      <c r="J53" s="22"/>
      <c r="K53" s="21"/>
      <c r="L53" s="20"/>
      <c r="M53" s="20"/>
      <c r="N53" s="23"/>
      <c r="O53" s="23"/>
      <c r="P53" s="21"/>
      <c r="Q53" s="22"/>
      <c r="R53" s="22" t="n">
        <v>0.221796647999996</v>
      </c>
      <c r="S53" s="24"/>
      <c r="T53" s="20" t="s">
        <v>85</v>
      </c>
      <c r="U53" s="20"/>
      <c r="V53" s="20" t="s">
        <v>379</v>
      </c>
    </row>
    <row r="54" customFormat="false" ht="15" hidden="false" customHeight="false" outlineLevel="0" collapsed="false">
      <c r="A54" s="20" t="s">
        <v>380</v>
      </c>
      <c r="B54" s="20" t="s">
        <v>312</v>
      </c>
      <c r="C54" s="20" t="s">
        <v>368</v>
      </c>
      <c r="D54" s="20" t="s">
        <v>374</v>
      </c>
      <c r="E54" s="20" t="s">
        <v>291</v>
      </c>
      <c r="F54" s="20" t="s">
        <v>111</v>
      </c>
      <c r="G54" s="20" t="n">
        <v>1</v>
      </c>
      <c r="H54" s="21"/>
      <c r="I54" s="21"/>
      <c r="J54" s="22"/>
      <c r="K54" s="21"/>
      <c r="L54" s="20"/>
      <c r="M54" s="20"/>
      <c r="N54" s="23"/>
      <c r="O54" s="23"/>
      <c r="P54" s="21"/>
      <c r="Q54" s="22"/>
      <c r="R54" s="22" t="n">
        <v>0.221796647999995</v>
      </c>
      <c r="S54" s="24"/>
      <c r="T54" s="20" t="s">
        <v>85</v>
      </c>
      <c r="U54" s="20"/>
      <c r="V54" s="20" t="s">
        <v>381</v>
      </c>
    </row>
    <row r="55" customFormat="false" ht="15" hidden="false" customHeight="false" outlineLevel="0" collapsed="false">
      <c r="A55" s="20" t="s">
        <v>382</v>
      </c>
      <c r="B55" s="20" t="s">
        <v>312</v>
      </c>
      <c r="C55" s="20" t="s">
        <v>368</v>
      </c>
      <c r="D55" s="20" t="s">
        <v>383</v>
      </c>
      <c r="E55" s="20" t="s">
        <v>271</v>
      </c>
      <c r="F55" s="20" t="s">
        <v>113</v>
      </c>
      <c r="G55" s="20" t="n">
        <v>1</v>
      </c>
      <c r="H55" s="21"/>
      <c r="I55" s="21"/>
      <c r="J55" s="22"/>
      <c r="K55" s="21"/>
      <c r="L55" s="20"/>
      <c r="M55" s="20"/>
      <c r="N55" s="23"/>
      <c r="O55" s="23"/>
      <c r="P55" s="21"/>
      <c r="Q55" s="22"/>
      <c r="R55" s="22" t="n">
        <v>0.098674048000002</v>
      </c>
      <c r="S55" s="24"/>
      <c r="T55" s="20" t="s">
        <v>85</v>
      </c>
      <c r="U55" s="20"/>
      <c r="V55" s="20" t="s">
        <v>384</v>
      </c>
    </row>
    <row r="56" customFormat="false" ht="15" hidden="false" customHeight="false" outlineLevel="0" collapsed="false">
      <c r="A56" s="20" t="s">
        <v>385</v>
      </c>
      <c r="B56" s="20" t="s">
        <v>312</v>
      </c>
      <c r="C56" s="20" t="s">
        <v>368</v>
      </c>
      <c r="D56" s="20" t="s">
        <v>383</v>
      </c>
      <c r="E56" s="20" t="s">
        <v>271</v>
      </c>
      <c r="F56" s="20" t="s">
        <v>113</v>
      </c>
      <c r="G56" s="20" t="n">
        <v>1</v>
      </c>
      <c r="H56" s="21"/>
      <c r="I56" s="21"/>
      <c r="J56" s="22"/>
      <c r="K56" s="21"/>
      <c r="L56" s="20"/>
      <c r="M56" s="20"/>
      <c r="N56" s="23"/>
      <c r="O56" s="23"/>
      <c r="P56" s="21"/>
      <c r="Q56" s="22"/>
      <c r="R56" s="22" t="n">
        <v>0.0986740480000017</v>
      </c>
      <c r="S56" s="24"/>
      <c r="T56" s="20" t="s">
        <v>85</v>
      </c>
      <c r="U56" s="20"/>
      <c r="V56" s="20" t="s">
        <v>386</v>
      </c>
    </row>
    <row r="57" customFormat="false" ht="15" hidden="false" customHeight="false" outlineLevel="0" collapsed="false">
      <c r="A57" s="20" t="s">
        <v>387</v>
      </c>
      <c r="B57" s="20" t="s">
        <v>312</v>
      </c>
      <c r="C57" s="20" t="s">
        <v>368</v>
      </c>
      <c r="D57" s="20" t="s">
        <v>383</v>
      </c>
      <c r="E57" s="20" t="s">
        <v>291</v>
      </c>
      <c r="F57" s="20" t="s">
        <v>113</v>
      </c>
      <c r="G57" s="20" t="n">
        <v>1</v>
      </c>
      <c r="H57" s="21"/>
      <c r="I57" s="21"/>
      <c r="J57" s="22"/>
      <c r="K57" s="21"/>
      <c r="L57" s="20"/>
      <c r="M57" s="20"/>
      <c r="N57" s="23"/>
      <c r="O57" s="23"/>
      <c r="P57" s="21"/>
      <c r="Q57" s="22"/>
      <c r="R57" s="22" t="n">
        <v>0.0986740480000037</v>
      </c>
      <c r="S57" s="24"/>
      <c r="T57" s="20" t="s">
        <v>85</v>
      </c>
      <c r="U57" s="20"/>
      <c r="V57" s="20" t="s">
        <v>388</v>
      </c>
    </row>
    <row r="58" customFormat="false" ht="15" hidden="false" customHeight="false" outlineLevel="0" collapsed="false">
      <c r="A58" s="20" t="s">
        <v>389</v>
      </c>
      <c r="B58" s="20" t="s">
        <v>312</v>
      </c>
      <c r="C58" s="20" t="s">
        <v>368</v>
      </c>
      <c r="D58" s="20" t="s">
        <v>383</v>
      </c>
      <c r="E58" s="20" t="s">
        <v>291</v>
      </c>
      <c r="F58" s="20" t="s">
        <v>113</v>
      </c>
      <c r="G58" s="20" t="n">
        <v>1</v>
      </c>
      <c r="H58" s="21"/>
      <c r="I58" s="21"/>
      <c r="J58" s="22"/>
      <c r="K58" s="21"/>
      <c r="L58" s="20"/>
      <c r="M58" s="20"/>
      <c r="N58" s="23"/>
      <c r="O58" s="23"/>
      <c r="P58" s="21"/>
      <c r="Q58" s="22"/>
      <c r="R58" s="22" t="n">
        <v>0.0986740480000019</v>
      </c>
      <c r="S58" s="24"/>
      <c r="T58" s="20" t="s">
        <v>85</v>
      </c>
      <c r="U58" s="20"/>
      <c r="V58" s="20" t="s">
        <v>390</v>
      </c>
    </row>
    <row r="59" customFormat="false" ht="15" hidden="false" customHeight="false" outlineLevel="0" collapsed="false">
      <c r="A59" s="20" t="s">
        <v>391</v>
      </c>
      <c r="B59" s="20" t="s">
        <v>312</v>
      </c>
      <c r="C59" s="20" t="s">
        <v>368</v>
      </c>
      <c r="D59" s="20" t="s">
        <v>392</v>
      </c>
      <c r="E59" s="20" t="s">
        <v>291</v>
      </c>
      <c r="F59" s="20" t="s">
        <v>115</v>
      </c>
      <c r="G59" s="20" t="n">
        <v>1</v>
      </c>
      <c r="H59" s="21"/>
      <c r="I59" s="21"/>
      <c r="J59" s="22"/>
      <c r="K59" s="21"/>
      <c r="L59" s="20"/>
      <c r="M59" s="20"/>
      <c r="N59" s="23"/>
      <c r="O59" s="23"/>
      <c r="P59" s="21"/>
      <c r="Q59" s="22"/>
      <c r="R59" s="22" t="n">
        <v>0.0487269799999988</v>
      </c>
      <c r="S59" s="24"/>
      <c r="T59" s="20" t="s">
        <v>85</v>
      </c>
      <c r="U59" s="20"/>
      <c r="V59" s="20" t="s">
        <v>393</v>
      </c>
    </row>
    <row r="60" customFormat="false" ht="15" hidden="false" customHeight="false" outlineLevel="0" collapsed="false">
      <c r="A60" s="20" t="s">
        <v>394</v>
      </c>
      <c r="B60" s="20" t="s">
        <v>312</v>
      </c>
      <c r="C60" s="20" t="s">
        <v>368</v>
      </c>
      <c r="D60" s="20" t="s">
        <v>392</v>
      </c>
      <c r="E60" s="20" t="s">
        <v>291</v>
      </c>
      <c r="F60" s="20" t="s">
        <v>115</v>
      </c>
      <c r="G60" s="20" t="n">
        <v>1</v>
      </c>
      <c r="H60" s="21"/>
      <c r="I60" s="21"/>
      <c r="J60" s="22"/>
      <c r="K60" s="21"/>
      <c r="L60" s="20"/>
      <c r="M60" s="20"/>
      <c r="N60" s="23"/>
      <c r="O60" s="23"/>
      <c r="P60" s="21"/>
      <c r="Q60" s="22"/>
      <c r="R60" s="22" t="n">
        <v>0.0487269799999989</v>
      </c>
      <c r="S60" s="24"/>
      <c r="T60" s="20" t="s">
        <v>85</v>
      </c>
      <c r="U60" s="20"/>
      <c r="V60" s="20" t="s">
        <v>395</v>
      </c>
    </row>
    <row r="61" customFormat="false" ht="15" hidden="false" customHeight="false" outlineLevel="0" collapsed="false">
      <c r="A61" s="20" t="s">
        <v>396</v>
      </c>
      <c r="B61" s="20" t="s">
        <v>312</v>
      </c>
      <c r="C61" s="20" t="s">
        <v>368</v>
      </c>
      <c r="D61" s="20" t="s">
        <v>392</v>
      </c>
      <c r="E61" s="20" t="s">
        <v>291</v>
      </c>
      <c r="F61" s="20" t="s">
        <v>115</v>
      </c>
      <c r="G61" s="20" t="n">
        <v>1</v>
      </c>
      <c r="H61" s="21"/>
      <c r="I61" s="21"/>
      <c r="J61" s="22"/>
      <c r="K61" s="21"/>
      <c r="L61" s="20"/>
      <c r="M61" s="20"/>
      <c r="N61" s="23"/>
      <c r="O61" s="23"/>
      <c r="P61" s="21"/>
      <c r="Q61" s="22"/>
      <c r="R61" s="22" t="n">
        <v>0.0487269799999972</v>
      </c>
      <c r="S61" s="24"/>
      <c r="T61" s="20" t="s">
        <v>85</v>
      </c>
      <c r="U61" s="20"/>
      <c r="V61" s="20" t="s">
        <v>397</v>
      </c>
    </row>
    <row r="62" customFormat="false" ht="15" hidden="false" customHeight="false" outlineLevel="0" collapsed="false">
      <c r="A62" s="20" t="s">
        <v>398</v>
      </c>
      <c r="B62" s="20" t="s">
        <v>312</v>
      </c>
      <c r="C62" s="20" t="s">
        <v>368</v>
      </c>
      <c r="D62" s="20" t="s">
        <v>392</v>
      </c>
      <c r="E62" s="20" t="s">
        <v>291</v>
      </c>
      <c r="F62" s="20" t="s">
        <v>115</v>
      </c>
      <c r="G62" s="20" t="n">
        <v>1</v>
      </c>
      <c r="H62" s="21"/>
      <c r="I62" s="21"/>
      <c r="J62" s="22"/>
      <c r="K62" s="21"/>
      <c r="L62" s="20"/>
      <c r="M62" s="20"/>
      <c r="N62" s="23"/>
      <c r="O62" s="23"/>
      <c r="P62" s="21"/>
      <c r="Q62" s="22"/>
      <c r="R62" s="22" t="n">
        <v>0.0487269799999984</v>
      </c>
      <c r="S62" s="24"/>
      <c r="T62" s="20" t="s">
        <v>85</v>
      </c>
      <c r="U62" s="20"/>
      <c r="V62" s="20" t="s">
        <v>399</v>
      </c>
    </row>
    <row r="63" customFormat="false" ht="15" hidden="false" customHeight="false" outlineLevel="0" collapsed="false">
      <c r="A63" s="20" t="s">
        <v>400</v>
      </c>
      <c r="B63" s="20" t="s">
        <v>312</v>
      </c>
      <c r="C63" s="20" t="s">
        <v>368</v>
      </c>
      <c r="D63" s="20" t="s">
        <v>392</v>
      </c>
      <c r="E63" s="20" t="s">
        <v>291</v>
      </c>
      <c r="F63" s="20" t="s">
        <v>115</v>
      </c>
      <c r="G63" s="20" t="n">
        <v>1</v>
      </c>
      <c r="H63" s="21"/>
      <c r="I63" s="21"/>
      <c r="J63" s="22"/>
      <c r="K63" s="21"/>
      <c r="L63" s="20"/>
      <c r="M63" s="20"/>
      <c r="N63" s="23"/>
      <c r="O63" s="23"/>
      <c r="P63" s="21"/>
      <c r="Q63" s="22"/>
      <c r="R63" s="22" t="n">
        <v>0.0487269799999988</v>
      </c>
      <c r="S63" s="24"/>
      <c r="T63" s="20" t="s">
        <v>85</v>
      </c>
      <c r="U63" s="20"/>
      <c r="V63" s="20" t="s">
        <v>401</v>
      </c>
    </row>
    <row r="64" customFormat="false" ht="15" hidden="false" customHeight="false" outlineLevel="0" collapsed="false">
      <c r="A64" s="20" t="s">
        <v>402</v>
      </c>
      <c r="B64" s="20" t="s">
        <v>312</v>
      </c>
      <c r="C64" s="20" t="s">
        <v>368</v>
      </c>
      <c r="D64" s="20" t="s">
        <v>392</v>
      </c>
      <c r="E64" s="20" t="s">
        <v>291</v>
      </c>
      <c r="F64" s="20" t="s">
        <v>115</v>
      </c>
      <c r="G64" s="20" t="n">
        <v>1</v>
      </c>
      <c r="H64" s="21"/>
      <c r="I64" s="21"/>
      <c r="J64" s="22"/>
      <c r="K64" s="21"/>
      <c r="L64" s="20"/>
      <c r="M64" s="20"/>
      <c r="N64" s="23"/>
      <c r="O64" s="23"/>
      <c r="P64" s="21"/>
      <c r="Q64" s="22"/>
      <c r="R64" s="22" t="n">
        <v>0.0487269799999988</v>
      </c>
      <c r="S64" s="24"/>
      <c r="T64" s="20" t="s">
        <v>85</v>
      </c>
      <c r="U64" s="20"/>
      <c r="V64" s="20" t="s">
        <v>403</v>
      </c>
    </row>
    <row r="65" customFormat="false" ht="15" hidden="false" customHeight="false" outlineLevel="0" collapsed="false">
      <c r="A65" s="20" t="s">
        <v>404</v>
      </c>
      <c r="B65" s="20" t="s">
        <v>312</v>
      </c>
      <c r="C65" s="20" t="s">
        <v>368</v>
      </c>
      <c r="D65" s="20" t="s">
        <v>392</v>
      </c>
      <c r="E65" s="20" t="s">
        <v>291</v>
      </c>
      <c r="F65" s="20" t="s">
        <v>115</v>
      </c>
      <c r="G65" s="20" t="n">
        <v>1</v>
      </c>
      <c r="H65" s="21"/>
      <c r="I65" s="21"/>
      <c r="J65" s="22"/>
      <c r="K65" s="21"/>
      <c r="L65" s="20"/>
      <c r="M65" s="20"/>
      <c r="N65" s="23"/>
      <c r="O65" s="23"/>
      <c r="P65" s="21"/>
      <c r="Q65" s="22"/>
      <c r="R65" s="22" t="n">
        <v>0.0487269799999986</v>
      </c>
      <c r="S65" s="24"/>
      <c r="T65" s="20" t="s">
        <v>85</v>
      </c>
      <c r="U65" s="20"/>
      <c r="V65" s="20" t="s">
        <v>405</v>
      </c>
    </row>
    <row r="66" customFormat="false" ht="15" hidden="false" customHeight="false" outlineLevel="0" collapsed="false">
      <c r="A66" s="20" t="s">
        <v>406</v>
      </c>
      <c r="B66" s="20" t="s">
        <v>312</v>
      </c>
      <c r="C66" s="20" t="s">
        <v>368</v>
      </c>
      <c r="D66" s="20" t="s">
        <v>392</v>
      </c>
      <c r="E66" s="20" t="s">
        <v>291</v>
      </c>
      <c r="F66" s="20" t="s">
        <v>115</v>
      </c>
      <c r="G66" s="20" t="n">
        <v>1</v>
      </c>
      <c r="H66" s="21"/>
      <c r="I66" s="21"/>
      <c r="J66" s="22"/>
      <c r="K66" s="21"/>
      <c r="L66" s="20"/>
      <c r="M66" s="20"/>
      <c r="N66" s="23"/>
      <c r="O66" s="23"/>
      <c r="P66" s="21"/>
      <c r="Q66" s="22"/>
      <c r="R66" s="22" t="n">
        <v>0.0487269800000008</v>
      </c>
      <c r="S66" s="24"/>
      <c r="T66" s="20" t="s">
        <v>85</v>
      </c>
      <c r="U66" s="20"/>
      <c r="V66" s="20" t="s">
        <v>407</v>
      </c>
    </row>
    <row r="67" customFormat="false" ht="15" hidden="false" customHeight="false" outlineLevel="0" collapsed="false">
      <c r="A67" s="20" t="s">
        <v>408</v>
      </c>
      <c r="B67" s="20" t="s">
        <v>312</v>
      </c>
      <c r="C67" s="20" t="s">
        <v>409</v>
      </c>
      <c r="D67" s="20" t="s">
        <v>392</v>
      </c>
      <c r="E67" s="20" t="s">
        <v>291</v>
      </c>
      <c r="F67" s="20" t="s">
        <v>117</v>
      </c>
      <c r="G67" s="20" t="n">
        <v>1</v>
      </c>
      <c r="H67" s="21"/>
      <c r="I67" s="21"/>
      <c r="J67" s="22"/>
      <c r="K67" s="21"/>
      <c r="L67" s="20"/>
      <c r="M67" s="20"/>
      <c r="N67" s="23"/>
      <c r="O67" s="23"/>
      <c r="P67" s="21"/>
      <c r="Q67" s="22"/>
      <c r="R67" s="22" t="n">
        <v>0.0488612837225006</v>
      </c>
      <c r="S67" s="24"/>
      <c r="T67" s="20" t="s">
        <v>85</v>
      </c>
      <c r="U67" s="20"/>
      <c r="V67" s="20" t="s">
        <v>410</v>
      </c>
    </row>
    <row r="68" customFormat="false" ht="15" hidden="false" customHeight="false" outlineLevel="0" collapsed="false">
      <c r="A68" s="20" t="s">
        <v>411</v>
      </c>
      <c r="B68" s="20" t="s">
        <v>312</v>
      </c>
      <c r="C68" s="20" t="s">
        <v>409</v>
      </c>
      <c r="D68" s="20" t="s">
        <v>392</v>
      </c>
      <c r="E68" s="20" t="s">
        <v>291</v>
      </c>
      <c r="F68" s="20" t="s">
        <v>117</v>
      </c>
      <c r="G68" s="20" t="n">
        <v>1</v>
      </c>
      <c r="H68" s="21"/>
      <c r="I68" s="21"/>
      <c r="J68" s="22"/>
      <c r="K68" s="21"/>
      <c r="L68" s="20"/>
      <c r="M68" s="20"/>
      <c r="N68" s="23"/>
      <c r="O68" s="23"/>
      <c r="P68" s="21"/>
      <c r="Q68" s="22"/>
      <c r="R68" s="22" t="n">
        <v>0.048861283722502</v>
      </c>
      <c r="S68" s="24"/>
      <c r="T68" s="20" t="s">
        <v>85</v>
      </c>
      <c r="U68" s="20"/>
      <c r="V68" s="20" t="s">
        <v>412</v>
      </c>
    </row>
    <row r="69" customFormat="false" ht="15" hidden="false" customHeight="false" outlineLevel="0" collapsed="false">
      <c r="A69" s="20" t="s">
        <v>413</v>
      </c>
      <c r="B69" s="20" t="s">
        <v>312</v>
      </c>
      <c r="C69" s="20" t="s">
        <v>409</v>
      </c>
      <c r="D69" s="20" t="s">
        <v>392</v>
      </c>
      <c r="E69" s="20" t="s">
        <v>291</v>
      </c>
      <c r="F69" s="20" t="s">
        <v>117</v>
      </c>
      <c r="G69" s="20" t="n">
        <v>1</v>
      </c>
      <c r="H69" s="21"/>
      <c r="I69" s="21"/>
      <c r="J69" s="22"/>
      <c r="K69" s="21"/>
      <c r="L69" s="20"/>
      <c r="M69" s="20"/>
      <c r="N69" s="23"/>
      <c r="O69" s="23"/>
      <c r="P69" s="21"/>
      <c r="Q69" s="22"/>
      <c r="R69" s="22" t="n">
        <v>0.0488612837225005</v>
      </c>
      <c r="S69" s="24"/>
      <c r="T69" s="20" t="s">
        <v>85</v>
      </c>
      <c r="U69" s="20"/>
      <c r="V69" s="20" t="s">
        <v>414</v>
      </c>
    </row>
    <row r="70" customFormat="false" ht="15" hidden="false" customHeight="false" outlineLevel="0" collapsed="false">
      <c r="A70" s="20" t="s">
        <v>415</v>
      </c>
      <c r="B70" s="20" t="s">
        <v>312</v>
      </c>
      <c r="C70" s="20" t="s">
        <v>409</v>
      </c>
      <c r="D70" s="20" t="s">
        <v>392</v>
      </c>
      <c r="E70" s="20" t="s">
        <v>291</v>
      </c>
      <c r="F70" s="20" t="s">
        <v>117</v>
      </c>
      <c r="G70" s="20" t="n">
        <v>1</v>
      </c>
      <c r="H70" s="21"/>
      <c r="I70" s="21"/>
      <c r="J70" s="22"/>
      <c r="K70" s="21"/>
      <c r="L70" s="20"/>
      <c r="M70" s="20"/>
      <c r="N70" s="23"/>
      <c r="O70" s="23"/>
      <c r="P70" s="21"/>
      <c r="Q70" s="22"/>
      <c r="R70" s="22" t="n">
        <v>0.0488612837224992</v>
      </c>
      <c r="S70" s="24"/>
      <c r="T70" s="20" t="s">
        <v>85</v>
      </c>
      <c r="U70" s="20"/>
      <c r="V70" s="20" t="s">
        <v>416</v>
      </c>
    </row>
    <row r="71" customFormat="false" ht="15" hidden="false" customHeight="false" outlineLevel="0" collapsed="false">
      <c r="A71" s="20" t="s">
        <v>417</v>
      </c>
      <c r="B71" s="20" t="s">
        <v>418</v>
      </c>
      <c r="C71" s="20" t="s">
        <v>419</v>
      </c>
      <c r="D71" s="20" t="s">
        <v>420</v>
      </c>
      <c r="E71" s="20" t="s">
        <v>271</v>
      </c>
      <c r="F71" s="20" t="s">
        <v>119</v>
      </c>
      <c r="G71" s="20" t="n">
        <v>1</v>
      </c>
      <c r="H71" s="21"/>
      <c r="I71" s="21"/>
      <c r="J71" s="22"/>
      <c r="K71" s="21"/>
      <c r="L71" s="20"/>
      <c r="M71" s="20"/>
      <c r="N71" s="23"/>
      <c r="O71" s="23"/>
      <c r="P71" s="21"/>
      <c r="Q71" s="22"/>
      <c r="R71" s="22" t="n">
        <v>0.148741099999999</v>
      </c>
      <c r="S71" s="24"/>
      <c r="T71" s="20" t="s">
        <v>85</v>
      </c>
      <c r="U71" s="20"/>
      <c r="V71" s="20" t="s">
        <v>421</v>
      </c>
    </row>
    <row r="72" customFormat="false" ht="15" hidden="false" customHeight="false" outlineLevel="0" collapsed="false">
      <c r="A72" s="20" t="s">
        <v>422</v>
      </c>
      <c r="B72" s="20" t="s">
        <v>418</v>
      </c>
      <c r="C72" s="20" t="s">
        <v>419</v>
      </c>
      <c r="D72" s="20" t="s">
        <v>420</v>
      </c>
      <c r="E72" s="20" t="s">
        <v>271</v>
      </c>
      <c r="F72" s="20" t="s">
        <v>119</v>
      </c>
      <c r="G72" s="20" t="n">
        <v>1</v>
      </c>
      <c r="H72" s="21"/>
      <c r="I72" s="21"/>
      <c r="J72" s="22"/>
      <c r="K72" s="21"/>
      <c r="L72" s="20"/>
      <c r="M72" s="20"/>
      <c r="N72" s="23"/>
      <c r="O72" s="23"/>
      <c r="P72" s="21"/>
      <c r="Q72" s="22"/>
      <c r="R72" s="22" t="n">
        <v>0.1487411</v>
      </c>
      <c r="S72" s="24"/>
      <c r="T72" s="20" t="s">
        <v>85</v>
      </c>
      <c r="U72" s="20"/>
      <c r="V72" s="20" t="s">
        <v>423</v>
      </c>
    </row>
    <row r="73" customFormat="false" ht="15" hidden="false" customHeight="false" outlineLevel="0" collapsed="false">
      <c r="A73" s="20" t="s">
        <v>424</v>
      </c>
      <c r="B73" s="20" t="s">
        <v>418</v>
      </c>
      <c r="C73" s="20" t="s">
        <v>425</v>
      </c>
      <c r="D73" s="20" t="s">
        <v>426</v>
      </c>
      <c r="E73" s="20" t="s">
        <v>271</v>
      </c>
      <c r="F73" s="20" t="s">
        <v>121</v>
      </c>
      <c r="G73" s="20" t="n">
        <v>1</v>
      </c>
      <c r="H73" s="21"/>
      <c r="I73" s="21"/>
      <c r="J73" s="22"/>
      <c r="K73" s="21"/>
      <c r="L73" s="20"/>
      <c r="M73" s="20"/>
      <c r="N73" s="23"/>
      <c r="O73" s="23"/>
      <c r="P73" s="21"/>
      <c r="Q73" s="22"/>
      <c r="R73" s="22" t="n">
        <v>0.0621423204000062</v>
      </c>
      <c r="S73" s="24"/>
      <c r="T73" s="20" t="s">
        <v>85</v>
      </c>
      <c r="U73" s="20"/>
      <c r="V73" s="20" t="s">
        <v>427</v>
      </c>
    </row>
    <row r="74" customFormat="false" ht="15" hidden="false" customHeight="false" outlineLevel="0" collapsed="false">
      <c r="A74" s="20" t="s">
        <v>428</v>
      </c>
      <c r="B74" s="20" t="s">
        <v>418</v>
      </c>
      <c r="C74" s="20" t="s">
        <v>425</v>
      </c>
      <c r="D74" s="20" t="s">
        <v>426</v>
      </c>
      <c r="E74" s="20" t="s">
        <v>271</v>
      </c>
      <c r="F74" s="20" t="s">
        <v>121</v>
      </c>
      <c r="G74" s="20" t="n">
        <v>1</v>
      </c>
      <c r="H74" s="21"/>
      <c r="I74" s="21"/>
      <c r="J74" s="22"/>
      <c r="K74" s="21"/>
      <c r="L74" s="20"/>
      <c r="M74" s="20"/>
      <c r="N74" s="23"/>
      <c r="O74" s="23"/>
      <c r="P74" s="21"/>
      <c r="Q74" s="22"/>
      <c r="R74" s="22" t="n">
        <v>0.0621423204000016</v>
      </c>
      <c r="S74" s="24"/>
      <c r="T74" s="20" t="s">
        <v>85</v>
      </c>
      <c r="U74" s="20"/>
      <c r="V74" s="20" t="s">
        <v>429</v>
      </c>
    </row>
    <row r="75" customFormat="false" ht="15" hidden="false" customHeight="false" outlineLevel="0" collapsed="false">
      <c r="A75" s="20" t="s">
        <v>430</v>
      </c>
      <c r="B75" s="20" t="s">
        <v>249</v>
      </c>
      <c r="C75" s="20" t="s">
        <v>250</v>
      </c>
      <c r="D75" s="20" t="s">
        <v>431</v>
      </c>
      <c r="E75" s="20" t="s">
        <v>271</v>
      </c>
      <c r="F75" s="20" t="s">
        <v>126</v>
      </c>
      <c r="G75" s="20" t="n">
        <v>1</v>
      </c>
      <c r="H75" s="21" t="n">
        <v>4.19149999999998</v>
      </c>
      <c r="I75" s="21" t="n">
        <f aca="false">IF(L75&gt;0,J75/(L75/1000),"")</f>
        <v>10.5249180636372</v>
      </c>
      <c r="J75" s="22" t="n">
        <v>5.78870493500047</v>
      </c>
      <c r="K75" s="21"/>
      <c r="L75" s="20" t="n">
        <v>550</v>
      </c>
      <c r="M75" s="20"/>
      <c r="N75" s="23"/>
      <c r="O75" s="23"/>
      <c r="P75" s="21" t="n">
        <v>11.7417950000008</v>
      </c>
      <c r="Q75" s="22" t="n">
        <v>5.78870493500047</v>
      </c>
      <c r="R75" s="22" t="n">
        <v>5.78870493500042</v>
      </c>
      <c r="S75" s="24" t="n">
        <f aca="false">(R75-Q75)/Q75</f>
        <v>-7.82508348816068E-015</v>
      </c>
      <c r="T75" s="20" t="s">
        <v>432</v>
      </c>
      <c r="U75" s="26" t="s">
        <v>350</v>
      </c>
      <c r="V75" s="20" t="s">
        <v>433</v>
      </c>
    </row>
    <row r="76" customFormat="false" ht="15" hidden="false" customHeight="false" outlineLevel="0" collapsed="false">
      <c r="A76" s="20" t="s">
        <v>434</v>
      </c>
      <c r="B76" s="20" t="s">
        <v>249</v>
      </c>
      <c r="C76" s="20" t="s">
        <v>250</v>
      </c>
      <c r="D76" s="20" t="s">
        <v>431</v>
      </c>
      <c r="E76" s="20" t="s">
        <v>271</v>
      </c>
      <c r="F76" s="20" t="s">
        <v>126</v>
      </c>
      <c r="G76" s="20" t="n">
        <v>1</v>
      </c>
      <c r="H76" s="21" t="n">
        <v>4.1915</v>
      </c>
      <c r="I76" s="21" t="n">
        <f aca="false">IF(L76&gt;0,J76/(L76/1000),"")</f>
        <v>10.5249180636371</v>
      </c>
      <c r="J76" s="22" t="n">
        <v>5.78870493500041</v>
      </c>
      <c r="K76" s="21"/>
      <c r="L76" s="20" t="n">
        <v>550</v>
      </c>
      <c r="M76" s="20"/>
      <c r="N76" s="23"/>
      <c r="O76" s="23"/>
      <c r="P76" s="21" t="n">
        <v>11.7417950000008</v>
      </c>
      <c r="Q76" s="22" t="n">
        <v>5.78870493500041</v>
      </c>
      <c r="R76" s="22" t="n">
        <v>5.78870493500045</v>
      </c>
      <c r="S76" s="24" t="n">
        <f aca="false">(R76-Q76)/Q76</f>
        <v>7.67165047858898E-015</v>
      </c>
      <c r="T76" s="20" t="s">
        <v>432</v>
      </c>
      <c r="U76" s="26" t="s">
        <v>350</v>
      </c>
      <c r="V76" s="20" t="s">
        <v>435</v>
      </c>
    </row>
    <row r="77" customFormat="false" ht="15" hidden="false" customHeight="false" outlineLevel="0" collapsed="false">
      <c r="A77" s="20" t="s">
        <v>436</v>
      </c>
      <c r="B77" s="20" t="s">
        <v>249</v>
      </c>
      <c r="C77" s="20" t="s">
        <v>250</v>
      </c>
      <c r="D77" s="20" t="s">
        <v>431</v>
      </c>
      <c r="E77" s="20" t="s">
        <v>271</v>
      </c>
      <c r="F77" s="20" t="s">
        <v>126</v>
      </c>
      <c r="G77" s="20" t="n">
        <v>1</v>
      </c>
      <c r="H77" s="21" t="n">
        <v>2.20000000000003</v>
      </c>
      <c r="I77" s="21" t="n">
        <f aca="false">IF(L77&gt;0,J77/(L77/1000),"")</f>
        <v>3.65586000000032</v>
      </c>
      <c r="J77" s="22" t="n">
        <v>2.01072300000018</v>
      </c>
      <c r="K77" s="21"/>
      <c r="L77" s="20" t="n">
        <v>550</v>
      </c>
      <c r="M77" s="20"/>
      <c r="N77" s="23"/>
      <c r="O77" s="23"/>
      <c r="P77" s="21"/>
      <c r="Q77" s="22" t="n">
        <v>2.01072300000018</v>
      </c>
      <c r="R77" s="22" t="n">
        <v>2.85621050000027</v>
      </c>
      <c r="S77" s="24" t="n">
        <f aca="false">(R77-Q77)/Q77</f>
        <v>0.420489296636096</v>
      </c>
      <c r="T77" s="20" t="s">
        <v>437</v>
      </c>
      <c r="U77" s="26" t="s">
        <v>350</v>
      </c>
      <c r="V77" s="20" t="s">
        <v>438</v>
      </c>
    </row>
    <row r="78" customFormat="false" ht="15" hidden="false" customHeight="false" outlineLevel="0" collapsed="false">
      <c r="A78" s="20" t="s">
        <v>439</v>
      </c>
      <c r="B78" s="20" t="s">
        <v>440</v>
      </c>
      <c r="C78" s="20" t="s">
        <v>250</v>
      </c>
      <c r="D78" s="20" t="s">
        <v>431</v>
      </c>
      <c r="E78" s="20" t="s">
        <v>291</v>
      </c>
      <c r="F78" s="20" t="s">
        <v>126</v>
      </c>
      <c r="G78" s="20" t="n">
        <v>1</v>
      </c>
      <c r="H78" s="21" t="n">
        <v>17.383</v>
      </c>
      <c r="I78" s="21" t="n">
        <f aca="false">IF(L78&gt;0,J78/(L78/1000),"")</f>
        <v>46.9638494545455</v>
      </c>
      <c r="J78" s="22" t="n">
        <v>25.8301172000001</v>
      </c>
      <c r="K78" s="21"/>
      <c r="L78" s="20" t="n">
        <v>550</v>
      </c>
      <c r="M78" s="20"/>
      <c r="N78" s="23"/>
      <c r="O78" s="23"/>
      <c r="P78" s="21" t="n">
        <v>38.4062000000001</v>
      </c>
      <c r="Q78" s="22" t="n">
        <v>25.8301172000001</v>
      </c>
      <c r="R78" s="22" t="n">
        <v>25.8301172</v>
      </c>
      <c r="S78" s="24" t="n">
        <f aca="false">(R78-Q78)/Q78</f>
        <v>0</v>
      </c>
      <c r="T78" s="20" t="s">
        <v>441</v>
      </c>
      <c r="U78" s="26" t="s">
        <v>350</v>
      </c>
      <c r="V78" s="20" t="s">
        <v>442</v>
      </c>
    </row>
    <row r="79" customFormat="false" ht="15" hidden="false" customHeight="false" outlineLevel="0" collapsed="false">
      <c r="A79" s="20" t="s">
        <v>443</v>
      </c>
      <c r="B79" s="20" t="s">
        <v>249</v>
      </c>
      <c r="C79" s="20" t="s">
        <v>250</v>
      </c>
      <c r="D79" s="20" t="s">
        <v>444</v>
      </c>
      <c r="E79" s="20" t="s">
        <v>271</v>
      </c>
      <c r="F79" s="20" t="s">
        <v>129</v>
      </c>
      <c r="G79" s="20" t="n">
        <v>1</v>
      </c>
      <c r="H79" s="21" t="n">
        <v>3.7915</v>
      </c>
      <c r="I79" s="21" t="n">
        <f aca="false">IF(L79&gt;0,J79/(L79/1000),"")</f>
        <v>10.0144850000007</v>
      </c>
      <c r="J79" s="22" t="n">
        <v>1.24179614000009</v>
      </c>
      <c r="K79" s="21"/>
      <c r="L79" s="20" t="n">
        <v>124</v>
      </c>
      <c r="M79" s="20"/>
      <c r="N79" s="23"/>
      <c r="O79" s="23"/>
      <c r="P79" s="21" t="n">
        <v>10.0144850000007</v>
      </c>
      <c r="Q79" s="22" t="n">
        <v>1.24179614000009</v>
      </c>
      <c r="R79" s="22" t="n">
        <v>1.24179614000009</v>
      </c>
      <c r="S79" s="24" t="n">
        <f aca="false">(R79-Q79)/Q79</f>
        <v>0</v>
      </c>
      <c r="T79" s="20" t="s">
        <v>252</v>
      </c>
      <c r="U79" s="20"/>
      <c r="V79" s="20" t="s">
        <v>445</v>
      </c>
    </row>
    <row r="80" customFormat="false" ht="15" hidden="false" customHeight="false" outlineLevel="0" collapsed="false">
      <c r="A80" s="20" t="s">
        <v>446</v>
      </c>
      <c r="B80" s="20" t="s">
        <v>249</v>
      </c>
      <c r="C80" s="20" t="s">
        <v>250</v>
      </c>
      <c r="D80" s="20" t="s">
        <v>444</v>
      </c>
      <c r="E80" s="20" t="s">
        <v>271</v>
      </c>
      <c r="F80" s="20" t="s">
        <v>129</v>
      </c>
      <c r="G80" s="20" t="n">
        <v>1</v>
      </c>
      <c r="H80" s="21" t="n">
        <v>3.19500000000004</v>
      </c>
      <c r="I80" s="21" t="n">
        <f aca="false">IF(L80&gt;0,J80/(L80/1000),"")</f>
        <v>6.61301600000069</v>
      </c>
      <c r="J80" s="22" t="n">
        <v>0.820013984000085</v>
      </c>
      <c r="K80" s="21"/>
      <c r="L80" s="20" t="n">
        <v>124</v>
      </c>
      <c r="M80" s="20"/>
      <c r="N80" s="23"/>
      <c r="O80" s="23"/>
      <c r="P80" s="21" t="n">
        <v>6.61301600000069</v>
      </c>
      <c r="Q80" s="22" t="n">
        <v>0.820013984000085</v>
      </c>
      <c r="R80" s="22" t="n">
        <v>0.820013984000086</v>
      </c>
      <c r="S80" s="24" t="n">
        <f aca="false">(R80-Q80)/Q80</f>
        <v>0</v>
      </c>
      <c r="T80" s="20" t="s">
        <v>252</v>
      </c>
      <c r="U80" s="20"/>
      <c r="V80" s="20" t="s">
        <v>447</v>
      </c>
    </row>
    <row r="81" customFormat="false" ht="15" hidden="false" customHeight="false" outlineLevel="0" collapsed="false">
      <c r="A81" s="20" t="s">
        <v>448</v>
      </c>
      <c r="B81" s="20" t="s">
        <v>249</v>
      </c>
      <c r="C81" s="20" t="s">
        <v>250</v>
      </c>
      <c r="D81" s="20" t="s">
        <v>444</v>
      </c>
      <c r="E81" s="20" t="s">
        <v>271</v>
      </c>
      <c r="F81" s="20" t="s">
        <v>129</v>
      </c>
      <c r="G81" s="20" t="n">
        <v>1</v>
      </c>
      <c r="H81" s="21" t="n">
        <v>3.19500000000004</v>
      </c>
      <c r="I81" s="21" t="n">
        <f aca="false">IF(L81&gt;0,J81/(L81/1000),"")</f>
        <v>6.61301600000068</v>
      </c>
      <c r="J81" s="22" t="n">
        <v>0.820013984000085</v>
      </c>
      <c r="K81" s="21"/>
      <c r="L81" s="20" t="n">
        <v>124</v>
      </c>
      <c r="M81" s="20"/>
      <c r="N81" s="23"/>
      <c r="O81" s="23"/>
      <c r="P81" s="21" t="n">
        <v>6.61301600000069</v>
      </c>
      <c r="Q81" s="22" t="n">
        <v>0.820013984000085</v>
      </c>
      <c r="R81" s="22" t="n">
        <v>0.820013984000087</v>
      </c>
      <c r="S81" s="24" t="n">
        <f aca="false">(R81-Q81)/Q81</f>
        <v>0</v>
      </c>
      <c r="T81" s="20" t="s">
        <v>252</v>
      </c>
      <c r="U81" s="20"/>
      <c r="V81" s="20" t="s">
        <v>449</v>
      </c>
    </row>
    <row r="82" customFormat="false" ht="15" hidden="false" customHeight="false" outlineLevel="0" collapsed="false">
      <c r="A82" s="20" t="s">
        <v>450</v>
      </c>
      <c r="B82" s="20" t="s">
        <v>249</v>
      </c>
      <c r="C82" s="20" t="s">
        <v>250</v>
      </c>
      <c r="D82" s="20" t="s">
        <v>444</v>
      </c>
      <c r="E82" s="20" t="s">
        <v>271</v>
      </c>
      <c r="F82" s="20" t="s">
        <v>129</v>
      </c>
      <c r="G82" s="20" t="n">
        <v>1</v>
      </c>
      <c r="H82" s="21" t="n">
        <v>1.594</v>
      </c>
      <c r="I82" s="21" t="n">
        <f aca="false">IF(L82&gt;0,J82/(L82/1000),"")</f>
        <v>4.06952000000029</v>
      </c>
      <c r="J82" s="22" t="n">
        <v>0.504620480000036</v>
      </c>
      <c r="K82" s="21"/>
      <c r="L82" s="20" t="n">
        <v>124</v>
      </c>
      <c r="M82" s="20"/>
      <c r="N82" s="23"/>
      <c r="O82" s="23"/>
      <c r="P82" s="21" t="n">
        <v>4.06952000000029</v>
      </c>
      <c r="Q82" s="22" t="n">
        <v>0.504620480000036</v>
      </c>
      <c r="R82" s="22" t="n">
        <v>0.504620480000045</v>
      </c>
      <c r="S82" s="24" t="n">
        <f aca="false">(R82-Q82)/Q82</f>
        <v>1.98010338811966E-014</v>
      </c>
      <c r="T82" s="20" t="s">
        <v>252</v>
      </c>
      <c r="U82" s="20"/>
      <c r="V82" s="20" t="s">
        <v>451</v>
      </c>
    </row>
    <row r="83" customFormat="false" ht="15" hidden="false" customHeight="false" outlineLevel="0" collapsed="false">
      <c r="A83" s="20" t="s">
        <v>452</v>
      </c>
      <c r="B83" s="20" t="s">
        <v>249</v>
      </c>
      <c r="C83" s="20" t="s">
        <v>250</v>
      </c>
      <c r="D83" s="20" t="s">
        <v>444</v>
      </c>
      <c r="E83" s="20" t="s">
        <v>271</v>
      </c>
      <c r="F83" s="20" t="s">
        <v>129</v>
      </c>
      <c r="G83" s="20" t="n">
        <v>1</v>
      </c>
      <c r="H83" s="21" t="n">
        <v>3.79149999999999</v>
      </c>
      <c r="I83" s="21" t="n">
        <f aca="false">IF(L83&gt;0,J83/(L83/1000),"")</f>
        <v>10.0144850000007</v>
      </c>
      <c r="J83" s="22" t="n">
        <v>1.24179614000008</v>
      </c>
      <c r="K83" s="21"/>
      <c r="L83" s="20" t="n">
        <v>124</v>
      </c>
      <c r="M83" s="20"/>
      <c r="N83" s="23"/>
      <c r="O83" s="23"/>
      <c r="P83" s="21" t="n">
        <v>10.0144850000007</v>
      </c>
      <c r="Q83" s="22" t="n">
        <v>1.24179614000008</v>
      </c>
      <c r="R83" s="22" t="n">
        <v>1.2417961400001</v>
      </c>
      <c r="S83" s="24" t="n">
        <f aca="false">(R83-Q83)/Q83</f>
        <v>9.65569812928464E-015</v>
      </c>
      <c r="T83" s="20" t="s">
        <v>252</v>
      </c>
      <c r="U83" s="20"/>
      <c r="V83" s="20" t="s">
        <v>453</v>
      </c>
    </row>
    <row r="84" customFormat="false" ht="15" hidden="false" customHeight="false" outlineLevel="0" collapsed="false">
      <c r="A84" s="20" t="s">
        <v>454</v>
      </c>
      <c r="B84" s="20" t="s">
        <v>249</v>
      </c>
      <c r="C84" s="20" t="s">
        <v>250</v>
      </c>
      <c r="D84" s="20" t="s">
        <v>444</v>
      </c>
      <c r="E84" s="20" t="s">
        <v>271</v>
      </c>
      <c r="F84" s="20" t="s">
        <v>129</v>
      </c>
      <c r="G84" s="20" t="n">
        <v>1</v>
      </c>
      <c r="H84" s="21" t="n">
        <v>2.2355</v>
      </c>
      <c r="I84" s="21" t="n">
        <f aca="false">IF(L84&gt;0,J84/(L84/1000),"")</f>
        <v>5.32188400000043</v>
      </c>
      <c r="J84" s="22" t="n">
        <v>0.659913616000054</v>
      </c>
      <c r="K84" s="21"/>
      <c r="L84" s="20" t="n">
        <v>124</v>
      </c>
      <c r="M84" s="20"/>
      <c r="N84" s="23"/>
      <c r="O84" s="23"/>
      <c r="P84" s="21" t="n">
        <v>5.32188400000044</v>
      </c>
      <c r="Q84" s="22" t="n">
        <v>0.659913616000054</v>
      </c>
      <c r="R84" s="22" t="n">
        <v>0.659913616000057</v>
      </c>
      <c r="S84" s="24" t="n">
        <f aca="false">(R84-Q84)/Q84</f>
        <v>5.21536651599822E-015</v>
      </c>
      <c r="T84" s="20" t="s">
        <v>252</v>
      </c>
      <c r="U84" s="20"/>
      <c r="V84" s="20" t="s">
        <v>455</v>
      </c>
    </row>
    <row r="85" customFormat="false" ht="15" hidden="false" customHeight="false" outlineLevel="0" collapsed="false">
      <c r="A85" s="20" t="s">
        <v>456</v>
      </c>
      <c r="B85" s="20" t="s">
        <v>249</v>
      </c>
      <c r="C85" s="20" t="s">
        <v>250</v>
      </c>
      <c r="D85" s="20" t="s">
        <v>444</v>
      </c>
      <c r="E85" s="20" t="s">
        <v>271</v>
      </c>
      <c r="F85" s="20" t="s">
        <v>129</v>
      </c>
      <c r="G85" s="20" t="n">
        <v>1</v>
      </c>
      <c r="H85" s="21" t="n">
        <v>2.23549999999998</v>
      </c>
      <c r="I85" s="21" t="n">
        <f aca="false">IF(L85&gt;0,J85/(L85/1000),"")</f>
        <v>5.32188399999996</v>
      </c>
      <c r="J85" s="22" t="n">
        <v>0.659913615999995</v>
      </c>
      <c r="K85" s="21"/>
      <c r="L85" s="20" t="n">
        <v>124</v>
      </c>
      <c r="M85" s="20"/>
      <c r="N85" s="23"/>
      <c r="O85" s="23"/>
      <c r="P85" s="21" t="n">
        <v>5.32188399999996</v>
      </c>
      <c r="Q85" s="22" t="n">
        <v>0.659913615999995</v>
      </c>
      <c r="R85" s="22" t="n">
        <v>0.659913616000008</v>
      </c>
      <c r="S85" s="24" t="n">
        <f aca="false">(R85-Q85)/Q85</f>
        <v>1.90108521389629E-014</v>
      </c>
      <c r="T85" s="20" t="s">
        <v>252</v>
      </c>
      <c r="U85" s="20"/>
      <c r="V85" s="20" t="s">
        <v>457</v>
      </c>
    </row>
    <row r="86" customFormat="false" ht="15" hidden="false" customHeight="false" outlineLevel="0" collapsed="false">
      <c r="A86" s="20" t="s">
        <v>458</v>
      </c>
      <c r="B86" s="20" t="s">
        <v>249</v>
      </c>
      <c r="C86" s="20" t="s">
        <v>250</v>
      </c>
      <c r="D86" s="20" t="s">
        <v>444</v>
      </c>
      <c r="E86" s="20" t="s">
        <v>271</v>
      </c>
      <c r="F86" s="20" t="s">
        <v>129</v>
      </c>
      <c r="G86" s="20" t="n">
        <v>1</v>
      </c>
      <c r="H86" s="21" t="n">
        <v>1.594</v>
      </c>
      <c r="I86" s="21" t="n">
        <f aca="false">IF(L86&gt;0,J86/(L86/1000),"")</f>
        <v>4.06952000000029</v>
      </c>
      <c r="J86" s="22" t="n">
        <v>0.504620480000036</v>
      </c>
      <c r="K86" s="21"/>
      <c r="L86" s="20" t="n">
        <v>124</v>
      </c>
      <c r="M86" s="20"/>
      <c r="N86" s="23"/>
      <c r="O86" s="23"/>
      <c r="P86" s="21" t="n">
        <v>4.06952000000029</v>
      </c>
      <c r="Q86" s="22" t="n">
        <v>0.504620480000036</v>
      </c>
      <c r="R86" s="22" t="n">
        <v>0.504620480000039</v>
      </c>
      <c r="S86" s="24" t="n">
        <f aca="false">(R86-Q86)/Q86</f>
        <v>5.50028718922128E-015</v>
      </c>
      <c r="T86" s="20" t="s">
        <v>252</v>
      </c>
      <c r="U86" s="20"/>
      <c r="V86" s="20" t="s">
        <v>459</v>
      </c>
    </row>
    <row r="87" customFormat="false" ht="15" hidden="false" customHeight="false" outlineLevel="0" collapsed="false">
      <c r="A87" s="20" t="s">
        <v>460</v>
      </c>
      <c r="B87" s="20" t="s">
        <v>249</v>
      </c>
      <c r="C87" s="20" t="s">
        <v>250</v>
      </c>
      <c r="D87" s="20" t="s">
        <v>444</v>
      </c>
      <c r="E87" s="20" t="s">
        <v>271</v>
      </c>
      <c r="F87" s="20" t="s">
        <v>129</v>
      </c>
      <c r="G87" s="20" t="n">
        <v>1</v>
      </c>
      <c r="H87" s="21" t="n">
        <v>3.812</v>
      </c>
      <c r="I87" s="21" t="n">
        <f aca="false">IF(L87&gt;0,J87/(L87/1000),"")</f>
        <v>1.69580000000068</v>
      </c>
      <c r="J87" s="22" t="n">
        <v>0.210279200000084</v>
      </c>
      <c r="K87" s="21"/>
      <c r="L87" s="20" t="n">
        <v>124</v>
      </c>
      <c r="M87" s="20"/>
      <c r="N87" s="23"/>
      <c r="O87" s="23"/>
      <c r="P87" s="21" t="n">
        <v>1.69580000000068</v>
      </c>
      <c r="Q87" s="22" t="n">
        <v>0.210279200000084</v>
      </c>
      <c r="R87" s="22" t="n">
        <v>0.210279200000085</v>
      </c>
      <c r="S87" s="24" t="n">
        <f aca="false">(R87-Q87)/Q87</f>
        <v>0</v>
      </c>
      <c r="T87" s="20" t="s">
        <v>252</v>
      </c>
      <c r="U87" s="20"/>
      <c r="V87" s="20" t="s">
        <v>461</v>
      </c>
    </row>
    <row r="88" customFormat="false" ht="15" hidden="false" customHeight="false" outlineLevel="0" collapsed="false">
      <c r="A88" s="20" t="s">
        <v>462</v>
      </c>
      <c r="B88" s="20" t="s">
        <v>249</v>
      </c>
      <c r="C88" s="20" t="s">
        <v>250</v>
      </c>
      <c r="D88" s="20" t="s">
        <v>444</v>
      </c>
      <c r="E88" s="20" t="s">
        <v>271</v>
      </c>
      <c r="F88" s="20" t="s">
        <v>129</v>
      </c>
      <c r="G88" s="20" t="n">
        <v>1</v>
      </c>
      <c r="H88" s="21" t="n">
        <v>3.812</v>
      </c>
      <c r="I88" s="21" t="n">
        <f aca="false">IF(L88&gt;0,J88/(L88/1000),"")</f>
        <v>1.69580000000068</v>
      </c>
      <c r="J88" s="22" t="n">
        <v>0.210279200000084</v>
      </c>
      <c r="K88" s="21"/>
      <c r="L88" s="20" t="n">
        <v>124</v>
      </c>
      <c r="M88" s="20"/>
      <c r="N88" s="23"/>
      <c r="O88" s="23"/>
      <c r="P88" s="21" t="n">
        <v>1.69580000000068</v>
      </c>
      <c r="Q88" s="22" t="n">
        <v>0.210279200000084</v>
      </c>
      <c r="R88" s="22" t="n">
        <v>0.210279200000083</v>
      </c>
      <c r="S88" s="24" t="n">
        <f aca="false">(R88-Q88)/Q88</f>
        <v>-7.12767160633748E-015</v>
      </c>
      <c r="T88" s="20" t="s">
        <v>252</v>
      </c>
      <c r="U88" s="20"/>
      <c r="V88" s="20" t="s">
        <v>463</v>
      </c>
    </row>
    <row r="89" customFormat="false" ht="15" hidden="false" customHeight="false" outlineLevel="0" collapsed="false">
      <c r="A89" s="20" t="s">
        <v>464</v>
      </c>
      <c r="B89" s="20" t="s">
        <v>249</v>
      </c>
      <c r="C89" s="20" t="s">
        <v>250</v>
      </c>
      <c r="D89" s="20" t="s">
        <v>444</v>
      </c>
      <c r="E89" s="20" t="s">
        <v>291</v>
      </c>
      <c r="F89" s="20" t="s">
        <v>129</v>
      </c>
      <c r="G89" s="20" t="n">
        <v>1</v>
      </c>
      <c r="H89" s="21" t="n">
        <v>5.42399999999999</v>
      </c>
      <c r="I89" s="21" t="n">
        <f aca="false">IF(L89&gt;0,J89/(L89/1000),"")</f>
        <v>13.973952</v>
      </c>
      <c r="J89" s="22" t="n">
        <v>1.73277004800001</v>
      </c>
      <c r="K89" s="21"/>
      <c r="L89" s="20" t="n">
        <v>124</v>
      </c>
      <c r="M89" s="20"/>
      <c r="N89" s="23"/>
      <c r="O89" s="23"/>
      <c r="P89" s="21" t="n">
        <v>13.9739520000001</v>
      </c>
      <c r="Q89" s="22" t="n">
        <v>1.73277004800001</v>
      </c>
      <c r="R89" s="22" t="n">
        <v>1.73277004800002</v>
      </c>
      <c r="S89" s="24" t="n">
        <f aca="false">(R89-Q89)/Q89</f>
        <v>8.20123520233076E-015</v>
      </c>
      <c r="T89" s="20" t="s">
        <v>252</v>
      </c>
      <c r="U89" s="20"/>
      <c r="V89" s="20" t="s">
        <v>465</v>
      </c>
    </row>
    <row r="90" customFormat="false" ht="15" hidden="false" customHeight="false" outlineLevel="0" collapsed="false">
      <c r="A90" s="20" t="s">
        <v>466</v>
      </c>
      <c r="B90" s="20" t="s">
        <v>249</v>
      </c>
      <c r="C90" s="20" t="s">
        <v>250</v>
      </c>
      <c r="D90" s="20" t="s">
        <v>444</v>
      </c>
      <c r="E90" s="20" t="s">
        <v>291</v>
      </c>
      <c r="F90" s="20" t="s">
        <v>129</v>
      </c>
      <c r="G90" s="20" t="n">
        <v>1</v>
      </c>
      <c r="H90" s="21" t="n">
        <v>2.23549999999999</v>
      </c>
      <c r="I90" s="21" t="n">
        <f aca="false">IF(L90&gt;0,J90/(L90/1000),"")</f>
        <v>3.942852</v>
      </c>
      <c r="J90" s="22" t="n">
        <v>0.488913648</v>
      </c>
      <c r="K90" s="21"/>
      <c r="L90" s="20" t="n">
        <v>124</v>
      </c>
      <c r="M90" s="20"/>
      <c r="N90" s="23"/>
      <c r="O90" s="23"/>
      <c r="P90" s="21" t="n">
        <v>3.942852</v>
      </c>
      <c r="Q90" s="22" t="n">
        <v>0.488913648</v>
      </c>
      <c r="R90" s="22" t="n">
        <v>0.48891364800001</v>
      </c>
      <c r="S90" s="24" t="n">
        <f aca="false">(R90-Q90)/Q90</f>
        <v>1.95288432851773E-014</v>
      </c>
      <c r="T90" s="20" t="s">
        <v>252</v>
      </c>
      <c r="U90" s="20"/>
      <c r="V90" s="20" t="s">
        <v>467</v>
      </c>
    </row>
    <row r="91" customFormat="false" ht="15" hidden="false" customHeight="false" outlineLevel="0" collapsed="false">
      <c r="A91" s="20" t="s">
        <v>468</v>
      </c>
      <c r="B91" s="20" t="s">
        <v>249</v>
      </c>
      <c r="C91" s="20" t="s">
        <v>250</v>
      </c>
      <c r="D91" s="20" t="s">
        <v>444</v>
      </c>
      <c r="E91" s="20" t="s">
        <v>291</v>
      </c>
      <c r="F91" s="20" t="s">
        <v>129</v>
      </c>
      <c r="G91" s="20" t="n">
        <v>1</v>
      </c>
      <c r="H91" s="21" t="n">
        <v>1.95599999999999</v>
      </c>
      <c r="I91" s="21" t="n">
        <f aca="false">IF(L91&gt;0,J91/(L91/1000),"")</f>
        <v>4.69509999999999</v>
      </c>
      <c r="J91" s="22" t="n">
        <v>0.582192399999999</v>
      </c>
      <c r="K91" s="21"/>
      <c r="L91" s="20" t="n">
        <v>124</v>
      </c>
      <c r="M91" s="20"/>
      <c r="N91" s="23"/>
      <c r="O91" s="23"/>
      <c r="P91" s="21" t="n">
        <v>4.69509999999999</v>
      </c>
      <c r="Q91" s="22" t="n">
        <v>0.582192399999999</v>
      </c>
      <c r="R91" s="22" t="n">
        <v>0.58219240000001</v>
      </c>
      <c r="S91" s="24" t="n">
        <f aca="false">(R91-Q91)/Q91</f>
        <v>1.945108670463E-014</v>
      </c>
      <c r="T91" s="20" t="s">
        <v>252</v>
      </c>
      <c r="U91" s="20"/>
      <c r="V91" s="20" t="s">
        <v>469</v>
      </c>
    </row>
    <row r="92" customFormat="false" ht="15" hidden="false" customHeight="false" outlineLevel="0" collapsed="false">
      <c r="A92" s="20" t="s">
        <v>470</v>
      </c>
      <c r="B92" s="20" t="s">
        <v>249</v>
      </c>
      <c r="C92" s="20" t="s">
        <v>250</v>
      </c>
      <c r="D92" s="20" t="s">
        <v>444</v>
      </c>
      <c r="E92" s="20" t="s">
        <v>291</v>
      </c>
      <c r="F92" s="20" t="s">
        <v>129</v>
      </c>
      <c r="G92" s="20" t="n">
        <v>1</v>
      </c>
      <c r="H92" s="21" t="n">
        <v>5.42399999999999</v>
      </c>
      <c r="I92" s="21" t="n">
        <f aca="false">IF(L92&gt;0,J92/(L92/1000),"")</f>
        <v>13.973952</v>
      </c>
      <c r="J92" s="22" t="n">
        <v>1.73277004800001</v>
      </c>
      <c r="K92" s="21"/>
      <c r="L92" s="20" t="n">
        <v>124</v>
      </c>
      <c r="M92" s="20"/>
      <c r="N92" s="23"/>
      <c r="O92" s="23"/>
      <c r="P92" s="21" t="n">
        <v>13.9739520000001</v>
      </c>
      <c r="Q92" s="22" t="n">
        <v>1.73277004800001</v>
      </c>
      <c r="R92" s="22" t="n">
        <v>1.73277004800003</v>
      </c>
      <c r="S92" s="24" t="n">
        <f aca="false">(R92-Q92)/Q92</f>
        <v>1.26862857036054E-014</v>
      </c>
      <c r="T92" s="20" t="s">
        <v>252</v>
      </c>
      <c r="U92" s="20"/>
      <c r="V92" s="20" t="s">
        <v>471</v>
      </c>
    </row>
    <row r="93" customFormat="false" ht="15" hidden="false" customHeight="false" outlineLevel="0" collapsed="false">
      <c r="A93" s="20" t="s">
        <v>472</v>
      </c>
      <c r="B93" s="20" t="s">
        <v>249</v>
      </c>
      <c r="C93" s="20" t="s">
        <v>250</v>
      </c>
      <c r="D93" s="20" t="s">
        <v>444</v>
      </c>
      <c r="E93" s="20" t="s">
        <v>291</v>
      </c>
      <c r="F93" s="20" t="s">
        <v>129</v>
      </c>
      <c r="G93" s="20" t="n">
        <v>1</v>
      </c>
      <c r="H93" s="21" t="n">
        <v>2.23549999999998</v>
      </c>
      <c r="I93" s="21" t="n">
        <f aca="false">IF(L93&gt;0,J93/(L93/1000),"")</f>
        <v>3.94285199999997</v>
      </c>
      <c r="J93" s="22" t="n">
        <v>0.488913647999996</v>
      </c>
      <c r="K93" s="21"/>
      <c r="L93" s="20" t="n">
        <v>124</v>
      </c>
      <c r="M93" s="20"/>
      <c r="N93" s="23"/>
      <c r="O93" s="23"/>
      <c r="P93" s="21" t="n">
        <v>3.94285199999997</v>
      </c>
      <c r="Q93" s="22" t="n">
        <v>0.488913647999996</v>
      </c>
      <c r="R93" s="22" t="n">
        <v>0.488913647999998</v>
      </c>
      <c r="S93" s="24" t="n">
        <f aca="false">(R93-Q93)/Q93</f>
        <v>3.63327316933534E-015</v>
      </c>
      <c r="T93" s="20" t="s">
        <v>252</v>
      </c>
      <c r="U93" s="20"/>
      <c r="V93" s="20" t="s">
        <v>473</v>
      </c>
    </row>
    <row r="94" customFormat="false" ht="15" hidden="false" customHeight="false" outlineLevel="0" collapsed="false">
      <c r="A94" s="20" t="s">
        <v>474</v>
      </c>
      <c r="B94" s="20" t="s">
        <v>249</v>
      </c>
      <c r="C94" s="20" t="s">
        <v>250</v>
      </c>
      <c r="D94" s="20" t="s">
        <v>444</v>
      </c>
      <c r="E94" s="20" t="s">
        <v>291</v>
      </c>
      <c r="F94" s="20" t="s">
        <v>129</v>
      </c>
      <c r="G94" s="20" t="n">
        <v>1</v>
      </c>
      <c r="H94" s="21" t="n">
        <v>1.95600000000002</v>
      </c>
      <c r="I94" s="21" t="n">
        <f aca="false">IF(L94&gt;0,J94/(L94/1000),"")</f>
        <v>4.69510000000007</v>
      </c>
      <c r="J94" s="22" t="n">
        <v>0.582192400000009</v>
      </c>
      <c r="K94" s="21"/>
      <c r="L94" s="20" t="n">
        <v>124</v>
      </c>
      <c r="M94" s="20"/>
      <c r="N94" s="23"/>
      <c r="O94" s="23"/>
      <c r="P94" s="21" t="n">
        <v>4.69510000000007</v>
      </c>
      <c r="Q94" s="22" t="n">
        <v>0.582192400000009</v>
      </c>
      <c r="R94" s="22" t="n">
        <v>0.582192400000011</v>
      </c>
      <c r="S94" s="24" t="n">
        <f aca="false">(R94-Q94)/Q94</f>
        <v>4.19533242648875E-015</v>
      </c>
      <c r="T94" s="20" t="s">
        <v>252</v>
      </c>
      <c r="U94" s="20"/>
      <c r="V94" s="20" t="s">
        <v>475</v>
      </c>
    </row>
    <row r="95" customFormat="false" ht="15" hidden="false" customHeight="false" outlineLevel="0" collapsed="false">
      <c r="A95" s="20" t="s">
        <v>476</v>
      </c>
      <c r="B95" s="20" t="s">
        <v>249</v>
      </c>
      <c r="C95" s="20" t="s">
        <v>250</v>
      </c>
      <c r="D95" s="20" t="s">
        <v>444</v>
      </c>
      <c r="E95" s="20" t="s">
        <v>291</v>
      </c>
      <c r="F95" s="20" t="s">
        <v>129</v>
      </c>
      <c r="G95" s="20" t="n">
        <v>1</v>
      </c>
      <c r="H95" s="21" t="n">
        <v>1.66199999999999</v>
      </c>
      <c r="I95" s="21" t="n">
        <f aca="false">IF(L95&gt;0,J95/(L95/1000),"")</f>
        <v>2.87121599999999</v>
      </c>
      <c r="J95" s="22" t="n">
        <v>0.356030783999999</v>
      </c>
      <c r="K95" s="21"/>
      <c r="L95" s="20" t="n">
        <v>124</v>
      </c>
      <c r="M95" s="20"/>
      <c r="N95" s="23"/>
      <c r="O95" s="23"/>
      <c r="P95" s="21" t="n">
        <v>2.87121599999999</v>
      </c>
      <c r="Q95" s="22" t="n">
        <v>0.356030783999999</v>
      </c>
      <c r="R95" s="22" t="n">
        <v>0.356030784000005</v>
      </c>
      <c r="S95" s="24" t="n">
        <f aca="false">(R95-Q95)/Q95</f>
        <v>1.76185890968691E-014</v>
      </c>
      <c r="T95" s="20" t="s">
        <v>252</v>
      </c>
      <c r="U95" s="20"/>
      <c r="V95" s="20" t="s">
        <v>477</v>
      </c>
    </row>
    <row r="96" customFormat="false" ht="15" hidden="false" customHeight="false" outlineLevel="0" collapsed="false">
      <c r="A96" s="20" t="s">
        <v>478</v>
      </c>
      <c r="B96" s="20" t="s">
        <v>249</v>
      </c>
      <c r="C96" s="20" t="s">
        <v>250</v>
      </c>
      <c r="D96" s="20" t="s">
        <v>444</v>
      </c>
      <c r="E96" s="20" t="s">
        <v>291</v>
      </c>
      <c r="F96" s="20" t="s">
        <v>129</v>
      </c>
      <c r="G96" s="20" t="n">
        <v>1</v>
      </c>
      <c r="H96" s="21" t="n">
        <v>1.66200000000002</v>
      </c>
      <c r="I96" s="21" t="n">
        <f aca="false">IF(L96&gt;0,J96/(L96/1000),"")</f>
        <v>2.87121600000007</v>
      </c>
      <c r="J96" s="22" t="n">
        <v>0.356030784000009</v>
      </c>
      <c r="K96" s="21"/>
      <c r="L96" s="20" t="n">
        <v>124</v>
      </c>
      <c r="M96" s="20"/>
      <c r="N96" s="23"/>
      <c r="O96" s="23"/>
      <c r="P96" s="21" t="n">
        <v>2.87121600000007</v>
      </c>
      <c r="Q96" s="22" t="n">
        <v>0.356030784000009</v>
      </c>
      <c r="R96" s="22" t="n">
        <v>0.356030784000011</v>
      </c>
      <c r="S96" s="24" t="n">
        <f aca="false">(R96-Q96)/Q96</f>
        <v>6.23666870685614E-015</v>
      </c>
      <c r="T96" s="20" t="s">
        <v>252</v>
      </c>
      <c r="U96" s="20"/>
      <c r="V96" s="20" t="s">
        <v>479</v>
      </c>
    </row>
    <row r="97" customFormat="false" ht="15" hidden="false" customHeight="false" outlineLevel="0" collapsed="false">
      <c r="A97" s="20" t="s">
        <v>480</v>
      </c>
      <c r="B97" s="20" t="s">
        <v>249</v>
      </c>
      <c r="C97" s="20" t="s">
        <v>250</v>
      </c>
      <c r="D97" s="20" t="s">
        <v>481</v>
      </c>
      <c r="E97" s="20" t="s">
        <v>291</v>
      </c>
      <c r="F97" s="20" t="s">
        <v>131</v>
      </c>
      <c r="G97" s="20" t="n">
        <v>1</v>
      </c>
      <c r="H97" s="21" t="n">
        <v>1.95599999999999</v>
      </c>
      <c r="I97" s="21" t="n">
        <f aca="false">IF(L97&gt;0,J97/(L97/1000),"")</f>
        <v>4.6951</v>
      </c>
      <c r="J97" s="22" t="n">
        <v>0.8638984</v>
      </c>
      <c r="K97" s="21"/>
      <c r="L97" s="20" t="n">
        <v>184</v>
      </c>
      <c r="M97" s="20"/>
      <c r="N97" s="23"/>
      <c r="O97" s="23"/>
      <c r="P97" s="21" t="n">
        <v>4.69509999999999</v>
      </c>
      <c r="Q97" s="22" t="n">
        <v>0.8638984</v>
      </c>
      <c r="R97" s="22" t="n">
        <v>0.863898399999996</v>
      </c>
      <c r="S97" s="24" t="n">
        <f aca="false">(R97-Q97)/Q97</f>
        <v>-4.7549864557141E-015</v>
      </c>
      <c r="T97" s="20" t="s">
        <v>252</v>
      </c>
      <c r="U97" s="20"/>
      <c r="V97" s="20" t="s">
        <v>482</v>
      </c>
    </row>
    <row r="98" customFormat="false" ht="15" hidden="false" customHeight="false" outlineLevel="0" collapsed="false">
      <c r="A98" s="20" t="s">
        <v>483</v>
      </c>
      <c r="B98" s="20" t="s">
        <v>249</v>
      </c>
      <c r="C98" s="20" t="s">
        <v>250</v>
      </c>
      <c r="D98" s="20" t="s">
        <v>481</v>
      </c>
      <c r="E98" s="20" t="s">
        <v>291</v>
      </c>
      <c r="F98" s="20" t="s">
        <v>131</v>
      </c>
      <c r="G98" s="20" t="n">
        <v>1</v>
      </c>
      <c r="H98" s="21" t="n">
        <v>1.95600000000002</v>
      </c>
      <c r="I98" s="21" t="n">
        <f aca="false">IF(L98&gt;0,J98/(L98/1000),"")</f>
        <v>4.69510000000006</v>
      </c>
      <c r="J98" s="22" t="n">
        <v>0.86389840000001</v>
      </c>
      <c r="K98" s="21"/>
      <c r="L98" s="20" t="n">
        <v>184</v>
      </c>
      <c r="M98" s="20"/>
      <c r="N98" s="23"/>
      <c r="O98" s="23"/>
      <c r="P98" s="21" t="n">
        <v>4.69510000000007</v>
      </c>
      <c r="Q98" s="22" t="n">
        <v>0.86389840000001</v>
      </c>
      <c r="R98" s="22" t="n">
        <v>0.863898400000018</v>
      </c>
      <c r="S98" s="24" t="n">
        <f aca="false">(R98-Q98)/Q98</f>
        <v>9.63848605887981E-015</v>
      </c>
      <c r="T98" s="20" t="s">
        <v>252</v>
      </c>
      <c r="U98" s="20"/>
      <c r="V98" s="20" t="s">
        <v>484</v>
      </c>
    </row>
    <row r="99" customFormat="false" ht="15" hidden="false" customHeight="false" outlineLevel="0" collapsed="false">
      <c r="A99" s="20" t="s">
        <v>485</v>
      </c>
      <c r="B99" s="20" t="s">
        <v>249</v>
      </c>
      <c r="C99" s="20" t="s">
        <v>250</v>
      </c>
      <c r="D99" s="20" t="s">
        <v>486</v>
      </c>
      <c r="E99" s="20" t="s">
        <v>271</v>
      </c>
      <c r="F99" s="20" t="s">
        <v>133</v>
      </c>
      <c r="G99" s="20" t="n">
        <v>1</v>
      </c>
      <c r="H99" s="21" t="n">
        <v>4.48549999999999</v>
      </c>
      <c r="I99" s="21" t="n">
        <f aca="false">IF(L99&gt;0,J99/(L99/1000),"")</f>
        <v>12.1666350000008</v>
      </c>
      <c r="J99" s="22" t="n">
        <v>1.84932852000012</v>
      </c>
      <c r="K99" s="21"/>
      <c r="L99" s="20" t="n">
        <v>152</v>
      </c>
      <c r="M99" s="20"/>
      <c r="N99" s="23"/>
      <c r="O99" s="23"/>
      <c r="P99" s="21" t="n">
        <v>12.1666350000008</v>
      </c>
      <c r="Q99" s="22" t="n">
        <v>1.84932852000012</v>
      </c>
      <c r="R99" s="22" t="n">
        <v>1.84932852000012</v>
      </c>
      <c r="S99" s="24" t="n">
        <f aca="false">(R99-Q99)/Q99</f>
        <v>-4.80270763195749E-015</v>
      </c>
      <c r="T99" s="20" t="s">
        <v>252</v>
      </c>
      <c r="U99" s="20"/>
      <c r="V99" s="20" t="s">
        <v>487</v>
      </c>
    </row>
    <row r="100" customFormat="false" ht="15" hidden="false" customHeight="false" outlineLevel="0" collapsed="false">
      <c r="A100" s="20" t="s">
        <v>488</v>
      </c>
      <c r="B100" s="20" t="s">
        <v>249</v>
      </c>
      <c r="C100" s="20" t="s">
        <v>250</v>
      </c>
      <c r="D100" s="20" t="s">
        <v>486</v>
      </c>
      <c r="E100" s="20" t="s">
        <v>271</v>
      </c>
      <c r="F100" s="20" t="s">
        <v>133</v>
      </c>
      <c r="G100" s="20" t="n">
        <v>1</v>
      </c>
      <c r="H100" s="21" t="n">
        <v>2.50800000000004</v>
      </c>
      <c r="I100" s="21" t="n">
        <f aca="false">IF(L100&gt;0,J100/(L100/1000),"")</f>
        <v>6.64330000000055</v>
      </c>
      <c r="J100" s="22" t="n">
        <v>1.00978160000008</v>
      </c>
      <c r="K100" s="21"/>
      <c r="L100" s="20" t="n">
        <v>152</v>
      </c>
      <c r="M100" s="20"/>
      <c r="N100" s="23"/>
      <c r="O100" s="23"/>
      <c r="P100" s="21" t="n">
        <v>6.64330000000055</v>
      </c>
      <c r="Q100" s="22" t="n">
        <v>1.00978160000008</v>
      </c>
      <c r="R100" s="22" t="n">
        <v>1.00978160000008</v>
      </c>
      <c r="S100" s="24" t="n">
        <f aca="false">(R100-Q100)/Q100</f>
        <v>-7.036598168951E-015</v>
      </c>
      <c r="T100" s="20" t="s">
        <v>252</v>
      </c>
      <c r="U100" s="20"/>
      <c r="V100" s="20" t="s">
        <v>489</v>
      </c>
    </row>
    <row r="101" customFormat="false" ht="15" hidden="false" customHeight="false" outlineLevel="0" collapsed="false">
      <c r="A101" s="20" t="s">
        <v>490</v>
      </c>
      <c r="B101" s="20" t="s">
        <v>249</v>
      </c>
      <c r="C101" s="20" t="s">
        <v>250</v>
      </c>
      <c r="D101" s="20" t="s">
        <v>486</v>
      </c>
      <c r="E101" s="20" t="s">
        <v>271</v>
      </c>
      <c r="F101" s="20" t="s">
        <v>133</v>
      </c>
      <c r="G101" s="20" t="n">
        <v>1</v>
      </c>
      <c r="H101" s="21" t="n">
        <v>2.50800000000003</v>
      </c>
      <c r="I101" s="21" t="n">
        <f aca="false">IF(L101&gt;0,J101/(L101/1000),"")</f>
        <v>6.41452500000053</v>
      </c>
      <c r="J101" s="22" t="n">
        <v>0.97500780000008</v>
      </c>
      <c r="K101" s="21"/>
      <c r="L101" s="20" t="n">
        <v>152</v>
      </c>
      <c r="M101" s="20"/>
      <c r="N101" s="23"/>
      <c r="O101" s="23"/>
      <c r="P101" s="21" t="n">
        <v>6.41452500000052</v>
      </c>
      <c r="Q101" s="22" t="n">
        <v>0.97500780000008</v>
      </c>
      <c r="R101" s="22" t="n">
        <v>0.975007800000071</v>
      </c>
      <c r="S101" s="24" t="n">
        <f aca="false">(R101-Q101)/Q101</f>
        <v>-8.99558126051711E-015</v>
      </c>
      <c r="T101" s="20" t="s">
        <v>252</v>
      </c>
      <c r="U101" s="20"/>
      <c r="V101" s="20" t="s">
        <v>491</v>
      </c>
    </row>
    <row r="102" customFormat="false" ht="15" hidden="false" customHeight="false" outlineLevel="0" collapsed="false">
      <c r="A102" s="20" t="s">
        <v>492</v>
      </c>
      <c r="B102" s="20" t="s">
        <v>249</v>
      </c>
      <c r="C102" s="20" t="s">
        <v>250</v>
      </c>
      <c r="D102" s="20" t="s">
        <v>486</v>
      </c>
      <c r="E102" s="20" t="s">
        <v>271</v>
      </c>
      <c r="F102" s="20" t="s">
        <v>133</v>
      </c>
      <c r="G102" s="20" t="n">
        <v>1</v>
      </c>
      <c r="H102" s="21" t="n">
        <v>4.4855</v>
      </c>
      <c r="I102" s="21" t="n">
        <f aca="false">IF(L102&gt;0,J102/(L102/1000),"")</f>
        <v>11.7417950000008</v>
      </c>
      <c r="J102" s="22" t="n">
        <v>1.78475284000013</v>
      </c>
      <c r="K102" s="21"/>
      <c r="L102" s="20" t="n">
        <v>152</v>
      </c>
      <c r="M102" s="20"/>
      <c r="N102" s="23"/>
      <c r="O102" s="23"/>
      <c r="P102" s="21" t="n">
        <v>11.7417950000008</v>
      </c>
      <c r="Q102" s="22" t="n">
        <v>1.78475284000013</v>
      </c>
      <c r="R102" s="22" t="n">
        <v>1.78475284000014</v>
      </c>
      <c r="S102" s="24" t="n">
        <f aca="false">(R102-Q102)/Q102</f>
        <v>6.09618620431822E-015</v>
      </c>
      <c r="T102" s="20" t="s">
        <v>252</v>
      </c>
      <c r="U102" s="20"/>
      <c r="V102" s="20" t="s">
        <v>493</v>
      </c>
    </row>
    <row r="103" customFormat="false" ht="15" hidden="false" customHeight="false" outlineLevel="0" collapsed="false">
      <c r="A103" s="20" t="s">
        <v>494</v>
      </c>
      <c r="B103" s="20" t="s">
        <v>249</v>
      </c>
      <c r="C103" s="20" t="s">
        <v>250</v>
      </c>
      <c r="D103" s="20" t="s">
        <v>486</v>
      </c>
      <c r="E103" s="20" t="s">
        <v>291</v>
      </c>
      <c r="F103" s="20" t="s">
        <v>133</v>
      </c>
      <c r="G103" s="20" t="n">
        <v>1</v>
      </c>
      <c r="H103" s="21" t="n">
        <v>4.314</v>
      </c>
      <c r="I103" s="21" t="n">
        <f aca="false">IF(L103&gt;0,J103/(L103/1000),"")</f>
        <v>10.7952000000001</v>
      </c>
      <c r="J103" s="22" t="n">
        <v>1.64087040000001</v>
      </c>
      <c r="K103" s="21"/>
      <c r="L103" s="20" t="n">
        <v>152</v>
      </c>
      <c r="M103" s="20"/>
      <c r="N103" s="23"/>
      <c r="O103" s="23"/>
      <c r="P103" s="21" t="n">
        <v>10.7952000000001</v>
      </c>
      <c r="Q103" s="22" t="n">
        <v>1.64087040000001</v>
      </c>
      <c r="R103" s="22" t="n">
        <v>1.6408704</v>
      </c>
      <c r="S103" s="24" t="n">
        <f aca="false">(R103-Q103)/Q103</f>
        <v>-4.8715643705323E-015</v>
      </c>
      <c r="T103" s="20" t="s">
        <v>252</v>
      </c>
      <c r="U103" s="20"/>
      <c r="V103" s="20" t="s">
        <v>495</v>
      </c>
    </row>
    <row r="104" customFormat="false" ht="15" hidden="false" customHeight="false" outlineLevel="0" collapsed="false">
      <c r="A104" s="20" t="s">
        <v>496</v>
      </c>
      <c r="B104" s="20" t="s">
        <v>249</v>
      </c>
      <c r="C104" s="20" t="s">
        <v>250</v>
      </c>
      <c r="D104" s="20" t="s">
        <v>486</v>
      </c>
      <c r="E104" s="20" t="s">
        <v>291</v>
      </c>
      <c r="F104" s="20" t="s">
        <v>133</v>
      </c>
      <c r="G104" s="20" t="n">
        <v>1</v>
      </c>
      <c r="H104" s="21" t="n">
        <v>4.314</v>
      </c>
      <c r="I104" s="21" t="n">
        <f aca="false">IF(L104&gt;0,J104/(L104/1000),"")</f>
        <v>10.7952</v>
      </c>
      <c r="J104" s="22" t="n">
        <v>1.64087040000001</v>
      </c>
      <c r="K104" s="21"/>
      <c r="L104" s="20" t="n">
        <v>152</v>
      </c>
      <c r="M104" s="20"/>
      <c r="N104" s="23"/>
      <c r="O104" s="23"/>
      <c r="P104" s="21" t="n">
        <v>10.7952</v>
      </c>
      <c r="Q104" s="22" t="n">
        <v>1.64087040000001</v>
      </c>
      <c r="R104" s="22" t="n">
        <v>1.6408704</v>
      </c>
      <c r="S104" s="24" t="n">
        <f aca="false">(R104-Q104)/Q104</f>
        <v>0</v>
      </c>
      <c r="T104" s="20" t="s">
        <v>252</v>
      </c>
      <c r="U104" s="20"/>
      <c r="V104" s="20" t="s">
        <v>497</v>
      </c>
    </row>
    <row r="105" customFormat="false" ht="15" hidden="false" customHeight="false" outlineLevel="0" collapsed="false">
      <c r="A105" s="20" t="s">
        <v>498</v>
      </c>
      <c r="B105" s="20" t="s">
        <v>249</v>
      </c>
      <c r="C105" s="20" t="s">
        <v>250</v>
      </c>
      <c r="D105" s="20" t="s">
        <v>499</v>
      </c>
      <c r="E105" s="20" t="s">
        <v>291</v>
      </c>
      <c r="F105" s="20" t="s">
        <v>135</v>
      </c>
      <c r="G105" s="20" t="n">
        <v>1</v>
      </c>
      <c r="H105" s="21" t="n">
        <v>1.0831</v>
      </c>
      <c r="I105" s="21" t="n">
        <f aca="false">IF(L105&gt;0,J105/(L105/1000),"")</f>
        <v>0.311932800000012</v>
      </c>
      <c r="J105" s="22" t="n">
        <v>0.0168443712000006</v>
      </c>
      <c r="K105" s="21"/>
      <c r="L105" s="20" t="n">
        <v>54</v>
      </c>
      <c r="M105" s="20"/>
      <c r="N105" s="23"/>
      <c r="O105" s="23"/>
      <c r="P105" s="21" t="n">
        <v>0.311932800000014</v>
      </c>
      <c r="Q105" s="22" t="n">
        <v>0.0168443712000006</v>
      </c>
      <c r="R105" s="22" t="n">
        <v>0.0168443712000008</v>
      </c>
      <c r="S105" s="24" t="n">
        <f aca="false">(R105-Q105)/Q105</f>
        <v>1.23582420884437E-014</v>
      </c>
      <c r="T105" s="20" t="s">
        <v>252</v>
      </c>
      <c r="U105" s="20"/>
      <c r="V105" s="20" t="s">
        <v>500</v>
      </c>
    </row>
    <row r="106" customFormat="false" ht="15" hidden="false" customHeight="false" outlineLevel="0" collapsed="false">
      <c r="A106" s="20" t="s">
        <v>501</v>
      </c>
      <c r="B106" s="20" t="s">
        <v>249</v>
      </c>
      <c r="C106" s="20" t="s">
        <v>250</v>
      </c>
      <c r="D106" s="20" t="s">
        <v>499</v>
      </c>
      <c r="E106" s="20" t="s">
        <v>291</v>
      </c>
      <c r="F106" s="20" t="s">
        <v>135</v>
      </c>
      <c r="G106" s="20" t="n">
        <v>1</v>
      </c>
      <c r="H106" s="21" t="n">
        <v>1.13509999999996</v>
      </c>
      <c r="I106" s="21" t="n">
        <f aca="false">IF(L106&gt;0,J106/(L106/1000),"")</f>
        <v>0.3269088</v>
      </c>
      <c r="J106" s="22" t="n">
        <v>0.0176530752</v>
      </c>
      <c r="K106" s="21"/>
      <c r="L106" s="20" t="n">
        <v>54</v>
      </c>
      <c r="M106" s="20"/>
      <c r="N106" s="23"/>
      <c r="O106" s="23"/>
      <c r="P106" s="21" t="n">
        <v>0.326908800000002</v>
      </c>
      <c r="Q106" s="22" t="n">
        <v>0.0176530752</v>
      </c>
      <c r="R106" s="22" t="n">
        <v>0.0176530752000004</v>
      </c>
      <c r="S106" s="24" t="n">
        <f aca="false">(R106-Q106)/Q106</f>
        <v>2.55495486562007E-014</v>
      </c>
      <c r="T106" s="20" t="s">
        <v>252</v>
      </c>
      <c r="U106" s="20"/>
      <c r="V106" s="20" t="s">
        <v>502</v>
      </c>
    </row>
    <row r="107" customFormat="false" ht="15" hidden="false" customHeight="false" outlineLevel="0" collapsed="false">
      <c r="A107" s="20" t="s">
        <v>503</v>
      </c>
      <c r="B107" s="20" t="s">
        <v>249</v>
      </c>
      <c r="C107" s="20" t="s">
        <v>250</v>
      </c>
      <c r="D107" s="20" t="s">
        <v>499</v>
      </c>
      <c r="E107" s="20" t="s">
        <v>291</v>
      </c>
      <c r="F107" s="20" t="s">
        <v>135</v>
      </c>
      <c r="G107" s="20" t="n">
        <v>1</v>
      </c>
      <c r="H107" s="21" t="n">
        <v>1.0831</v>
      </c>
      <c r="I107" s="21" t="n">
        <f aca="false">IF(L107&gt;0,J107/(L107/1000),"")</f>
        <v>0.311932800000012</v>
      </c>
      <c r="J107" s="22" t="n">
        <v>0.0168443712000006</v>
      </c>
      <c r="K107" s="21"/>
      <c r="L107" s="20" t="n">
        <v>54</v>
      </c>
      <c r="M107" s="20"/>
      <c r="N107" s="23"/>
      <c r="O107" s="23"/>
      <c r="P107" s="21" t="n">
        <v>0.311932800000014</v>
      </c>
      <c r="Q107" s="22" t="n">
        <v>0.0168443712000006</v>
      </c>
      <c r="R107" s="22" t="n">
        <v>0.0168443712000009</v>
      </c>
      <c r="S107" s="24" t="n">
        <f aca="false">(R107-Q107)/Q107</f>
        <v>1.35940662972881E-014</v>
      </c>
      <c r="T107" s="20" t="s">
        <v>252</v>
      </c>
      <c r="U107" s="20"/>
      <c r="V107" s="20" t="s">
        <v>504</v>
      </c>
    </row>
    <row r="108" customFormat="false" ht="15" hidden="false" customHeight="false" outlineLevel="0" collapsed="false">
      <c r="A108" s="20" t="s">
        <v>505</v>
      </c>
      <c r="B108" s="20" t="s">
        <v>249</v>
      </c>
      <c r="C108" s="20" t="s">
        <v>250</v>
      </c>
      <c r="D108" s="20" t="s">
        <v>499</v>
      </c>
      <c r="E108" s="20" t="s">
        <v>291</v>
      </c>
      <c r="F108" s="20" t="s">
        <v>135</v>
      </c>
      <c r="G108" s="20" t="n">
        <v>1</v>
      </c>
      <c r="H108" s="21" t="n">
        <v>1.13509999999996</v>
      </c>
      <c r="I108" s="21" t="n">
        <f aca="false">IF(L108&gt;0,J108/(L108/1000),"")</f>
        <v>0.3269088</v>
      </c>
      <c r="J108" s="22" t="n">
        <v>0.0176530752</v>
      </c>
      <c r="K108" s="21"/>
      <c r="L108" s="20" t="n">
        <v>54</v>
      </c>
      <c r="M108" s="20"/>
      <c r="N108" s="23"/>
      <c r="O108" s="23"/>
      <c r="P108" s="21" t="n">
        <v>0.326908800000003</v>
      </c>
      <c r="Q108" s="22" t="n">
        <v>0.0176530752</v>
      </c>
      <c r="R108" s="22" t="n">
        <v>0.0176530752000004</v>
      </c>
      <c r="S108" s="24" t="n">
        <f aca="false">(R108-Q108)/Q108</f>
        <v>2.37807337492329E-014</v>
      </c>
      <c r="T108" s="20" t="s">
        <v>252</v>
      </c>
      <c r="U108" s="20"/>
      <c r="V108" s="20" t="s">
        <v>506</v>
      </c>
    </row>
    <row r="109" customFormat="false" ht="15" hidden="false" customHeight="false" outlineLevel="0" collapsed="false">
      <c r="A109" s="20" t="s">
        <v>507</v>
      </c>
      <c r="B109" s="20" t="s">
        <v>249</v>
      </c>
      <c r="C109" s="20" t="s">
        <v>250</v>
      </c>
      <c r="D109" s="20" t="s">
        <v>499</v>
      </c>
      <c r="E109" s="20" t="s">
        <v>291</v>
      </c>
      <c r="F109" s="20" t="s">
        <v>135</v>
      </c>
      <c r="G109" s="20" t="n">
        <v>1</v>
      </c>
      <c r="H109" s="21" t="n">
        <v>1.0831</v>
      </c>
      <c r="I109" s="21" t="n">
        <f aca="false">IF(L109&gt;0,J109/(L109/1000),"")</f>
        <v>0.311932800000018</v>
      </c>
      <c r="J109" s="22" t="n">
        <v>0.016844371200001</v>
      </c>
      <c r="K109" s="21"/>
      <c r="L109" s="20" t="n">
        <v>54</v>
      </c>
      <c r="M109" s="20"/>
      <c r="N109" s="23"/>
      <c r="O109" s="23"/>
      <c r="P109" s="21" t="n">
        <v>0.311932800000013</v>
      </c>
      <c r="Q109" s="22" t="n">
        <v>0.016844371200001</v>
      </c>
      <c r="R109" s="22" t="n">
        <v>0.0168443712000014</v>
      </c>
      <c r="S109" s="24" t="n">
        <f aca="false">(R109-Q109)/Q109</f>
        <v>2.55403669827832E-014</v>
      </c>
      <c r="T109" s="20" t="s">
        <v>252</v>
      </c>
      <c r="U109" s="20"/>
      <c r="V109" s="20" t="s">
        <v>508</v>
      </c>
    </row>
    <row r="110" customFormat="false" ht="15" hidden="false" customHeight="false" outlineLevel="0" collapsed="false">
      <c r="A110" s="20" t="s">
        <v>509</v>
      </c>
      <c r="B110" s="20" t="s">
        <v>249</v>
      </c>
      <c r="C110" s="20" t="s">
        <v>250</v>
      </c>
      <c r="D110" s="20" t="s">
        <v>499</v>
      </c>
      <c r="E110" s="20" t="s">
        <v>291</v>
      </c>
      <c r="F110" s="20" t="s">
        <v>135</v>
      </c>
      <c r="G110" s="20" t="n">
        <v>1</v>
      </c>
      <c r="H110" s="21" t="n">
        <v>1.13509999999996</v>
      </c>
      <c r="I110" s="21" t="n">
        <f aca="false">IF(L110&gt;0,J110/(L110/1000),"")</f>
        <v>0.326908800000002</v>
      </c>
      <c r="J110" s="22" t="n">
        <v>0.0176530752000001</v>
      </c>
      <c r="K110" s="21"/>
      <c r="L110" s="20" t="n">
        <v>54</v>
      </c>
      <c r="M110" s="20"/>
      <c r="N110" s="23"/>
      <c r="O110" s="23"/>
      <c r="P110" s="21" t="n">
        <v>0.326908800000002</v>
      </c>
      <c r="Q110" s="22" t="n">
        <v>0.0176530752000001</v>
      </c>
      <c r="R110" s="22" t="n">
        <v>0.0176530752000001</v>
      </c>
      <c r="S110" s="24" t="n">
        <f aca="false">(R110-Q110)/Q110</f>
        <v>0</v>
      </c>
      <c r="T110" s="20" t="s">
        <v>252</v>
      </c>
      <c r="U110" s="20"/>
      <c r="V110" s="20" t="s">
        <v>510</v>
      </c>
    </row>
    <row r="111" customFormat="false" ht="15" hidden="false" customHeight="false" outlineLevel="0" collapsed="false">
      <c r="A111" s="20" t="s">
        <v>511</v>
      </c>
      <c r="B111" s="20" t="s">
        <v>249</v>
      </c>
      <c r="C111" s="20" t="s">
        <v>250</v>
      </c>
      <c r="D111" s="20" t="s">
        <v>499</v>
      </c>
      <c r="E111" s="20" t="s">
        <v>291</v>
      </c>
      <c r="F111" s="20" t="s">
        <v>135</v>
      </c>
      <c r="G111" s="20" t="n">
        <v>1</v>
      </c>
      <c r="H111" s="21" t="n">
        <v>1.0831</v>
      </c>
      <c r="I111" s="21" t="n">
        <f aca="false">IF(L111&gt;0,J111/(L111/1000),"")</f>
        <v>0.311932800000018</v>
      </c>
      <c r="J111" s="22" t="n">
        <v>0.016844371200001</v>
      </c>
      <c r="K111" s="21"/>
      <c r="L111" s="20" t="n">
        <v>54</v>
      </c>
      <c r="M111" s="20"/>
      <c r="N111" s="23"/>
      <c r="O111" s="23"/>
      <c r="P111" s="21" t="n">
        <v>0.311932800000013</v>
      </c>
      <c r="Q111" s="22" t="n">
        <v>0.016844371200001</v>
      </c>
      <c r="R111" s="22" t="n">
        <v>0.0168443712000014</v>
      </c>
      <c r="S111" s="24" t="n">
        <f aca="false">(R111-Q111)/Q111</f>
        <v>2.55403669827832E-014</v>
      </c>
      <c r="T111" s="20" t="s">
        <v>252</v>
      </c>
      <c r="U111" s="20"/>
      <c r="V111" s="20" t="s">
        <v>512</v>
      </c>
    </row>
    <row r="112" customFormat="false" ht="15" hidden="false" customHeight="false" outlineLevel="0" collapsed="false">
      <c r="A112" s="20" t="s">
        <v>513</v>
      </c>
      <c r="B112" s="20" t="s">
        <v>249</v>
      </c>
      <c r="C112" s="20" t="s">
        <v>250</v>
      </c>
      <c r="D112" s="20" t="s">
        <v>499</v>
      </c>
      <c r="E112" s="20" t="s">
        <v>291</v>
      </c>
      <c r="F112" s="20" t="s">
        <v>135</v>
      </c>
      <c r="G112" s="20" t="n">
        <v>1</v>
      </c>
      <c r="H112" s="21" t="n">
        <v>1.13509999999996</v>
      </c>
      <c r="I112" s="21" t="n">
        <f aca="false">IF(L112&gt;0,J112/(L112/1000),"")</f>
        <v>0.326908800000002</v>
      </c>
      <c r="J112" s="22" t="n">
        <v>0.0176530752000001</v>
      </c>
      <c r="K112" s="21"/>
      <c r="L112" s="20" t="n">
        <v>54</v>
      </c>
      <c r="M112" s="20"/>
      <c r="N112" s="23"/>
      <c r="O112" s="23"/>
      <c r="P112" s="21" t="n">
        <v>0.326908800000002</v>
      </c>
      <c r="Q112" s="22" t="n">
        <v>0.0176530752000001</v>
      </c>
      <c r="R112" s="22" t="n">
        <v>0.0176530752000002</v>
      </c>
      <c r="S112" s="24" t="n">
        <f aca="false">(R112-Q112)/Q112</f>
        <v>7.27179461753401E-015</v>
      </c>
      <c r="T112" s="20" t="s">
        <v>252</v>
      </c>
      <c r="U112" s="20"/>
      <c r="V112" s="20" t="s">
        <v>514</v>
      </c>
    </row>
    <row r="113" customFormat="false" ht="15" hidden="false" customHeight="false" outlineLevel="0" collapsed="false">
      <c r="A113" s="20" t="s">
        <v>515</v>
      </c>
      <c r="B113" s="20" t="s">
        <v>418</v>
      </c>
      <c r="C113" s="20" t="s">
        <v>419</v>
      </c>
      <c r="D113" s="20" t="s">
        <v>516</v>
      </c>
      <c r="E113" s="20" t="s">
        <v>271</v>
      </c>
      <c r="F113" s="20" t="s">
        <v>140</v>
      </c>
      <c r="G113" s="20" t="n">
        <v>1</v>
      </c>
      <c r="H113" s="21"/>
      <c r="I113" s="21"/>
      <c r="J113" s="22"/>
      <c r="K113" s="21"/>
      <c r="L113" s="20"/>
      <c r="M113" s="20"/>
      <c r="N113" s="23"/>
      <c r="O113" s="23"/>
      <c r="P113" s="21"/>
      <c r="Q113" s="22"/>
      <c r="R113" s="22" t="n">
        <v>0.0978839840000012</v>
      </c>
      <c r="S113" s="24"/>
      <c r="T113" s="20" t="s">
        <v>85</v>
      </c>
      <c r="U113" s="20"/>
      <c r="V113" s="20" t="s">
        <v>517</v>
      </c>
    </row>
    <row r="114" customFormat="false" ht="15" hidden="false" customHeight="false" outlineLevel="0" collapsed="false">
      <c r="A114" s="20" t="s">
        <v>518</v>
      </c>
      <c r="B114" s="20" t="s">
        <v>418</v>
      </c>
      <c r="C114" s="20" t="s">
        <v>419</v>
      </c>
      <c r="D114" s="20" t="s">
        <v>516</v>
      </c>
      <c r="E114" s="20" t="s">
        <v>271</v>
      </c>
      <c r="F114" s="20" t="s">
        <v>140</v>
      </c>
      <c r="G114" s="20" t="n">
        <v>1</v>
      </c>
      <c r="H114" s="21"/>
      <c r="I114" s="21"/>
      <c r="J114" s="22"/>
      <c r="K114" s="21"/>
      <c r="L114" s="20"/>
      <c r="M114" s="20"/>
      <c r="N114" s="23"/>
      <c r="O114" s="23"/>
      <c r="P114" s="21"/>
      <c r="Q114" s="22"/>
      <c r="R114" s="22" t="n">
        <v>0.097883984</v>
      </c>
      <c r="S114" s="24"/>
      <c r="T114" s="20" t="s">
        <v>85</v>
      </c>
      <c r="U114" s="20"/>
      <c r="V114" s="20" t="s">
        <v>519</v>
      </c>
    </row>
    <row r="115" customFormat="false" ht="15" hidden="false" customHeight="false" outlineLevel="0" collapsed="false">
      <c r="A115" s="20" t="s">
        <v>520</v>
      </c>
      <c r="B115" s="20" t="s">
        <v>418</v>
      </c>
      <c r="C115" s="20" t="s">
        <v>419</v>
      </c>
      <c r="D115" s="20" t="s">
        <v>516</v>
      </c>
      <c r="E115" s="20" t="s">
        <v>291</v>
      </c>
      <c r="F115" s="20" t="s">
        <v>140</v>
      </c>
      <c r="G115" s="20" t="n">
        <v>1</v>
      </c>
      <c r="H115" s="21"/>
      <c r="I115" s="21"/>
      <c r="J115" s="22"/>
      <c r="K115" s="21"/>
      <c r="L115" s="20"/>
      <c r="M115" s="20"/>
      <c r="N115" s="23"/>
      <c r="O115" s="23"/>
      <c r="P115" s="21"/>
      <c r="Q115" s="22"/>
      <c r="R115" s="22" t="n">
        <v>0.0978839839999973</v>
      </c>
      <c r="S115" s="24"/>
      <c r="T115" s="20" t="s">
        <v>85</v>
      </c>
      <c r="U115" s="20"/>
      <c r="V115" s="20" t="s">
        <v>521</v>
      </c>
    </row>
    <row r="116" customFormat="false" ht="15" hidden="false" customHeight="false" outlineLevel="0" collapsed="false">
      <c r="A116" s="20" t="s">
        <v>522</v>
      </c>
      <c r="B116" s="20" t="s">
        <v>418</v>
      </c>
      <c r="C116" s="20" t="s">
        <v>419</v>
      </c>
      <c r="D116" s="20" t="s">
        <v>516</v>
      </c>
      <c r="E116" s="20" t="s">
        <v>291</v>
      </c>
      <c r="F116" s="20" t="s">
        <v>140</v>
      </c>
      <c r="G116" s="20" t="n">
        <v>1</v>
      </c>
      <c r="H116" s="21"/>
      <c r="I116" s="21"/>
      <c r="J116" s="22"/>
      <c r="K116" s="21"/>
      <c r="L116" s="20"/>
      <c r="M116" s="20"/>
      <c r="N116" s="23"/>
      <c r="O116" s="23"/>
      <c r="P116" s="21"/>
      <c r="Q116" s="22"/>
      <c r="R116" s="22" t="n">
        <v>0.0978839839999999</v>
      </c>
      <c r="S116" s="24"/>
      <c r="T116" s="20" t="s">
        <v>85</v>
      </c>
      <c r="U116" s="20"/>
      <c r="V116" s="20" t="s">
        <v>523</v>
      </c>
    </row>
    <row r="117" customFormat="false" ht="15" hidden="false" customHeight="false" outlineLevel="0" collapsed="false">
      <c r="A117" s="20" t="s">
        <v>524</v>
      </c>
      <c r="B117" s="20" t="s">
        <v>418</v>
      </c>
      <c r="C117" s="20" t="s">
        <v>419</v>
      </c>
      <c r="D117" s="20" t="s">
        <v>525</v>
      </c>
      <c r="E117" s="20" t="s">
        <v>291</v>
      </c>
      <c r="F117" s="20" t="s">
        <v>142</v>
      </c>
      <c r="G117" s="20" t="n">
        <v>1</v>
      </c>
      <c r="H117" s="21"/>
      <c r="I117" s="21"/>
      <c r="J117" s="22"/>
      <c r="K117" s="21"/>
      <c r="L117" s="20"/>
      <c r="M117" s="20"/>
      <c r="N117" s="23"/>
      <c r="O117" s="23"/>
      <c r="P117" s="21"/>
      <c r="Q117" s="22"/>
      <c r="R117" s="22" t="n">
        <v>0.108842047999998</v>
      </c>
      <c r="S117" s="24"/>
      <c r="T117" s="20" t="s">
        <v>85</v>
      </c>
      <c r="U117" s="20"/>
      <c r="V117" s="20" t="s">
        <v>526</v>
      </c>
    </row>
    <row r="118" customFormat="false" ht="15" hidden="false" customHeight="false" outlineLevel="0" collapsed="false">
      <c r="A118" s="20" t="s">
        <v>527</v>
      </c>
      <c r="B118" s="20" t="s">
        <v>418</v>
      </c>
      <c r="C118" s="20" t="s">
        <v>419</v>
      </c>
      <c r="D118" s="20" t="s">
        <v>525</v>
      </c>
      <c r="E118" s="20" t="s">
        <v>291</v>
      </c>
      <c r="F118" s="20" t="s">
        <v>142</v>
      </c>
      <c r="G118" s="20" t="n">
        <v>1</v>
      </c>
      <c r="H118" s="21"/>
      <c r="I118" s="21"/>
      <c r="J118" s="22"/>
      <c r="K118" s="21"/>
      <c r="L118" s="20"/>
      <c r="M118" s="20"/>
      <c r="N118" s="23"/>
      <c r="O118" s="23"/>
      <c r="P118" s="21"/>
      <c r="Q118" s="22"/>
      <c r="R118" s="22" t="n">
        <v>0.108842047999997</v>
      </c>
      <c r="S118" s="24"/>
      <c r="T118" s="20" t="s">
        <v>85</v>
      </c>
      <c r="U118" s="20"/>
      <c r="V118" s="20" t="s">
        <v>528</v>
      </c>
    </row>
    <row r="119" customFormat="false" ht="15" hidden="false" customHeight="false" outlineLevel="0" collapsed="false">
      <c r="A119" s="20" t="s">
        <v>529</v>
      </c>
      <c r="B119" s="20" t="s">
        <v>418</v>
      </c>
      <c r="C119" s="20" t="s">
        <v>419</v>
      </c>
      <c r="D119" s="20" t="s">
        <v>525</v>
      </c>
      <c r="E119" s="20" t="s">
        <v>291</v>
      </c>
      <c r="F119" s="20" t="s">
        <v>142</v>
      </c>
      <c r="G119" s="20" t="n">
        <v>1</v>
      </c>
      <c r="H119" s="21"/>
      <c r="I119" s="21"/>
      <c r="J119" s="22"/>
      <c r="K119" s="21"/>
      <c r="L119" s="20"/>
      <c r="M119" s="20"/>
      <c r="N119" s="23"/>
      <c r="O119" s="23"/>
      <c r="P119" s="21"/>
      <c r="Q119" s="22"/>
      <c r="R119" s="22" t="n">
        <v>0.108842047999997</v>
      </c>
      <c r="S119" s="24"/>
      <c r="T119" s="20" t="s">
        <v>85</v>
      </c>
      <c r="U119" s="20"/>
      <c r="V119" s="20" t="s">
        <v>530</v>
      </c>
    </row>
    <row r="120" customFormat="false" ht="15" hidden="false" customHeight="false" outlineLevel="0" collapsed="false">
      <c r="A120" s="20" t="s">
        <v>531</v>
      </c>
      <c r="B120" s="20" t="s">
        <v>418</v>
      </c>
      <c r="C120" s="20" t="s">
        <v>419</v>
      </c>
      <c r="D120" s="20" t="s">
        <v>525</v>
      </c>
      <c r="E120" s="20" t="s">
        <v>291</v>
      </c>
      <c r="F120" s="20" t="s">
        <v>142</v>
      </c>
      <c r="G120" s="20" t="n">
        <v>1</v>
      </c>
      <c r="H120" s="21"/>
      <c r="I120" s="21"/>
      <c r="J120" s="22"/>
      <c r="K120" s="21"/>
      <c r="L120" s="20"/>
      <c r="M120" s="20"/>
      <c r="N120" s="23"/>
      <c r="O120" s="23"/>
      <c r="P120" s="21"/>
      <c r="Q120" s="22"/>
      <c r="R120" s="22" t="n">
        <v>0.108842048000001</v>
      </c>
      <c r="S120" s="24"/>
      <c r="T120" s="20" t="s">
        <v>85</v>
      </c>
      <c r="U120" s="20"/>
      <c r="V120" s="20" t="s">
        <v>532</v>
      </c>
    </row>
    <row r="121" customFormat="false" ht="15" hidden="false" customHeight="false" outlineLevel="0" collapsed="false">
      <c r="A121" s="20" t="s">
        <v>533</v>
      </c>
      <c r="B121" s="20" t="s">
        <v>418</v>
      </c>
      <c r="C121" s="20" t="s">
        <v>419</v>
      </c>
      <c r="D121" s="20" t="s">
        <v>525</v>
      </c>
      <c r="E121" s="20" t="s">
        <v>291</v>
      </c>
      <c r="F121" s="20" t="s">
        <v>142</v>
      </c>
      <c r="G121" s="20" t="n">
        <v>1</v>
      </c>
      <c r="H121" s="21"/>
      <c r="I121" s="21"/>
      <c r="J121" s="22"/>
      <c r="K121" s="21"/>
      <c r="L121" s="20"/>
      <c r="M121" s="20"/>
      <c r="N121" s="23"/>
      <c r="O121" s="23"/>
      <c r="P121" s="21"/>
      <c r="Q121" s="22"/>
      <c r="R121" s="22" t="n">
        <v>0.108842047999999</v>
      </c>
      <c r="S121" s="24"/>
      <c r="T121" s="20" t="s">
        <v>85</v>
      </c>
      <c r="U121" s="20"/>
      <c r="V121" s="20" t="s">
        <v>534</v>
      </c>
    </row>
    <row r="122" customFormat="false" ht="15" hidden="false" customHeight="false" outlineLevel="0" collapsed="false">
      <c r="A122" s="20" t="s">
        <v>535</v>
      </c>
      <c r="B122" s="20" t="s">
        <v>418</v>
      </c>
      <c r="C122" s="20" t="s">
        <v>419</v>
      </c>
      <c r="D122" s="20" t="s">
        <v>525</v>
      </c>
      <c r="E122" s="20" t="s">
        <v>291</v>
      </c>
      <c r="F122" s="20" t="s">
        <v>142</v>
      </c>
      <c r="G122" s="20" t="n">
        <v>1</v>
      </c>
      <c r="H122" s="21"/>
      <c r="I122" s="21"/>
      <c r="J122" s="22"/>
      <c r="K122" s="21"/>
      <c r="L122" s="20"/>
      <c r="M122" s="20"/>
      <c r="N122" s="23"/>
      <c r="O122" s="23"/>
      <c r="P122" s="21"/>
      <c r="Q122" s="22"/>
      <c r="R122" s="22" t="n">
        <v>0.108842047999998</v>
      </c>
      <c r="S122" s="24"/>
      <c r="T122" s="20" t="s">
        <v>85</v>
      </c>
      <c r="U122" s="20"/>
      <c r="V122" s="20" t="s">
        <v>536</v>
      </c>
    </row>
    <row r="123" customFormat="false" ht="15" hidden="false" customHeight="false" outlineLevel="0" collapsed="false">
      <c r="A123" s="20" t="s">
        <v>537</v>
      </c>
      <c r="B123" s="20" t="s">
        <v>268</v>
      </c>
      <c r="C123" s="20" t="s">
        <v>269</v>
      </c>
      <c r="D123" s="20" t="s">
        <v>538</v>
      </c>
      <c r="E123" s="20" t="s">
        <v>271</v>
      </c>
      <c r="F123" s="20" t="s">
        <v>153</v>
      </c>
      <c r="G123" s="20" t="n">
        <v>1</v>
      </c>
      <c r="H123" s="21"/>
      <c r="I123" s="21" t="n">
        <v>47.1499189999998</v>
      </c>
      <c r="J123" s="22" t="n">
        <v>0.895848460999996</v>
      </c>
      <c r="K123" s="21" t="n">
        <v>41.962</v>
      </c>
      <c r="L123" s="20" t="n">
        <v>19</v>
      </c>
      <c r="M123" s="20"/>
      <c r="N123" s="23"/>
      <c r="O123" s="23"/>
      <c r="P123" s="21" t="n">
        <v>47.1499189999998</v>
      </c>
      <c r="Q123" s="22" t="n">
        <v>0.895848460999996</v>
      </c>
      <c r="R123" s="22" t="n">
        <v>0.895848460999996</v>
      </c>
      <c r="S123" s="24" t="n">
        <f aca="false">(R123-Q123)/Q123</f>
        <v>0</v>
      </c>
      <c r="T123" s="20" t="s">
        <v>252</v>
      </c>
      <c r="U123" s="20"/>
      <c r="V123" s="20" t="s">
        <v>539</v>
      </c>
    </row>
    <row r="124" customFormat="false" ht="15" hidden="false" customHeight="false" outlineLevel="0" collapsed="false">
      <c r="A124" s="20" t="s">
        <v>540</v>
      </c>
      <c r="B124" s="20" t="s">
        <v>268</v>
      </c>
      <c r="C124" s="20" t="s">
        <v>269</v>
      </c>
      <c r="D124" s="20" t="s">
        <v>538</v>
      </c>
      <c r="E124" s="20" t="s">
        <v>271</v>
      </c>
      <c r="F124" s="20" t="s">
        <v>153</v>
      </c>
      <c r="G124" s="20" t="n">
        <v>1</v>
      </c>
      <c r="H124" s="21"/>
      <c r="I124" s="21" t="n">
        <v>47.1501287405467</v>
      </c>
      <c r="J124" s="22" t="n">
        <v>0.895852446070387</v>
      </c>
      <c r="K124" s="21" t="n">
        <v>41.962</v>
      </c>
      <c r="L124" s="20" t="n">
        <v>19</v>
      </c>
      <c r="M124" s="20"/>
      <c r="N124" s="23"/>
      <c r="O124" s="23"/>
      <c r="P124" s="21" t="n">
        <v>47.1501287405467</v>
      </c>
      <c r="Q124" s="22" t="n">
        <v>0.895852446070387</v>
      </c>
      <c r="R124" s="22" t="n">
        <v>0.895852446070387</v>
      </c>
      <c r="S124" s="24" t="n">
        <f aca="false">(R124-Q124)/Q124</f>
        <v>0</v>
      </c>
      <c r="T124" s="20" t="s">
        <v>252</v>
      </c>
      <c r="U124" s="20"/>
      <c r="V124" s="20" t="s">
        <v>541</v>
      </c>
    </row>
    <row r="125" customFormat="false" ht="15" hidden="false" customHeight="false" outlineLevel="0" collapsed="false">
      <c r="A125" s="20" t="s">
        <v>542</v>
      </c>
      <c r="B125" s="20" t="s">
        <v>268</v>
      </c>
      <c r="C125" s="20" t="s">
        <v>269</v>
      </c>
      <c r="D125" s="20" t="s">
        <v>538</v>
      </c>
      <c r="E125" s="20" t="s">
        <v>291</v>
      </c>
      <c r="F125" s="20" t="s">
        <v>153</v>
      </c>
      <c r="G125" s="20" t="n">
        <v>1</v>
      </c>
      <c r="H125" s="21"/>
      <c r="I125" s="21" t="n">
        <v>22.043232</v>
      </c>
      <c r="J125" s="22" t="n">
        <v>0.418821408</v>
      </c>
      <c r="K125" s="21" t="n">
        <v>19.914</v>
      </c>
      <c r="L125" s="20" t="n">
        <v>19</v>
      </c>
      <c r="M125" s="20"/>
      <c r="N125" s="23"/>
      <c r="O125" s="23"/>
      <c r="P125" s="21" t="n">
        <v>22.043232</v>
      </c>
      <c r="Q125" s="22" t="n">
        <v>0.418821408</v>
      </c>
      <c r="R125" s="22" t="n">
        <v>0.418821408000002</v>
      </c>
      <c r="S125" s="24" t="n">
        <f aca="false">(R125-Q125)/Q125</f>
        <v>6.22944304668667E-015</v>
      </c>
      <c r="T125" s="20" t="s">
        <v>252</v>
      </c>
      <c r="U125" s="20"/>
      <c r="V125" s="20" t="s">
        <v>543</v>
      </c>
    </row>
    <row r="126" customFormat="false" ht="15" hidden="false" customHeight="false" outlineLevel="0" collapsed="false">
      <c r="A126" s="20" t="s">
        <v>544</v>
      </c>
      <c r="B126" s="20" t="s">
        <v>268</v>
      </c>
      <c r="C126" s="20" t="s">
        <v>269</v>
      </c>
      <c r="D126" s="20" t="s">
        <v>538</v>
      </c>
      <c r="E126" s="20" t="s">
        <v>291</v>
      </c>
      <c r="F126" s="20" t="s">
        <v>153</v>
      </c>
      <c r="G126" s="20" t="n">
        <v>1</v>
      </c>
      <c r="H126" s="21"/>
      <c r="I126" s="21" t="n">
        <v>22.0432319999999</v>
      </c>
      <c r="J126" s="22" t="n">
        <v>0.418821407999999</v>
      </c>
      <c r="K126" s="21" t="n">
        <v>19.914</v>
      </c>
      <c r="L126" s="20" t="n">
        <v>19</v>
      </c>
      <c r="M126" s="20"/>
      <c r="N126" s="23"/>
      <c r="O126" s="23"/>
      <c r="P126" s="21" t="n">
        <v>22.0432319999999</v>
      </c>
      <c r="Q126" s="22" t="n">
        <v>0.418821407999999</v>
      </c>
      <c r="R126" s="22" t="n">
        <v>0.418821408000001</v>
      </c>
      <c r="S126" s="24" t="n">
        <f aca="false">(R126-Q126)/Q126</f>
        <v>6.09690170526782E-015</v>
      </c>
      <c r="T126" s="20" t="s">
        <v>252</v>
      </c>
      <c r="U126" s="20"/>
      <c r="V126" s="20" t="s">
        <v>545</v>
      </c>
    </row>
    <row r="127" customFormat="false" ht="15" hidden="false" customHeight="false" outlineLevel="0" collapsed="false">
      <c r="A127" s="20" t="s">
        <v>546</v>
      </c>
      <c r="B127" s="20" t="s">
        <v>268</v>
      </c>
      <c r="C127" s="20" t="s">
        <v>269</v>
      </c>
      <c r="D127" s="20" t="s">
        <v>538</v>
      </c>
      <c r="E127" s="20" t="s">
        <v>291</v>
      </c>
      <c r="F127" s="20" t="s">
        <v>153</v>
      </c>
      <c r="G127" s="20" t="n">
        <v>1</v>
      </c>
      <c r="H127" s="21"/>
      <c r="I127" s="21" t="n">
        <v>22.069136</v>
      </c>
      <c r="J127" s="22" t="n">
        <v>0.419313584000001</v>
      </c>
      <c r="K127" s="21" t="n">
        <v>19.946</v>
      </c>
      <c r="L127" s="20" t="n">
        <v>19</v>
      </c>
      <c r="M127" s="20"/>
      <c r="N127" s="23"/>
      <c r="O127" s="23"/>
      <c r="P127" s="21" t="n">
        <v>22.069136</v>
      </c>
      <c r="Q127" s="22" t="n">
        <v>0.419313584000001</v>
      </c>
      <c r="R127" s="22" t="n">
        <v>0.419313584000003</v>
      </c>
      <c r="S127" s="24" t="n">
        <f aca="false">(R127-Q127)/Q127</f>
        <v>5.42781652521318E-015</v>
      </c>
      <c r="T127" s="20" t="s">
        <v>252</v>
      </c>
      <c r="U127" s="20"/>
      <c r="V127" s="20" t="s">
        <v>547</v>
      </c>
    </row>
    <row r="128" customFormat="false" ht="15" hidden="false" customHeight="false" outlineLevel="0" collapsed="false">
      <c r="A128" s="20" t="s">
        <v>548</v>
      </c>
      <c r="B128" s="20" t="s">
        <v>268</v>
      </c>
      <c r="C128" s="20" t="s">
        <v>269</v>
      </c>
      <c r="D128" s="20" t="s">
        <v>538</v>
      </c>
      <c r="E128" s="20" t="s">
        <v>291</v>
      </c>
      <c r="F128" s="20" t="s">
        <v>153</v>
      </c>
      <c r="G128" s="20" t="n">
        <v>1</v>
      </c>
      <c r="H128" s="21"/>
      <c r="I128" s="21" t="n">
        <v>22.0432319999998</v>
      </c>
      <c r="J128" s="22" t="n">
        <v>0.418821407999997</v>
      </c>
      <c r="K128" s="21" t="n">
        <v>19.9139999999999</v>
      </c>
      <c r="L128" s="20" t="n">
        <v>19</v>
      </c>
      <c r="M128" s="20"/>
      <c r="N128" s="23"/>
      <c r="O128" s="23"/>
      <c r="P128" s="21" t="n">
        <v>22.0432319999998</v>
      </c>
      <c r="Q128" s="22" t="n">
        <v>0.418821407999997</v>
      </c>
      <c r="R128" s="22" t="n">
        <v>0.418821408</v>
      </c>
      <c r="S128" s="24" t="n">
        <f aca="false">(R128-Q128)/Q128</f>
        <v>5.96436036384897E-015</v>
      </c>
      <c r="T128" s="20" t="s">
        <v>252</v>
      </c>
      <c r="U128" s="20"/>
      <c r="V128" s="20" t="s">
        <v>549</v>
      </c>
    </row>
    <row r="129" customFormat="false" ht="15" hidden="false" customHeight="false" outlineLevel="0" collapsed="false">
      <c r="A129" s="20" t="s">
        <v>550</v>
      </c>
      <c r="B129" s="20" t="s">
        <v>268</v>
      </c>
      <c r="C129" s="20" t="s">
        <v>269</v>
      </c>
      <c r="D129" s="20" t="s">
        <v>538</v>
      </c>
      <c r="E129" s="20" t="s">
        <v>291</v>
      </c>
      <c r="F129" s="20" t="s">
        <v>153</v>
      </c>
      <c r="G129" s="20" t="n">
        <v>1</v>
      </c>
      <c r="H129" s="21"/>
      <c r="I129" s="21" t="n">
        <v>7.21086799999998</v>
      </c>
      <c r="J129" s="22" t="n">
        <v>0.137006492</v>
      </c>
      <c r="K129" s="21" t="n">
        <v>15.274</v>
      </c>
      <c r="L129" s="20" t="n">
        <v>19</v>
      </c>
      <c r="M129" s="20"/>
      <c r="N129" s="23"/>
      <c r="O129" s="23"/>
      <c r="P129" s="21" t="n">
        <v>7.21086799999998</v>
      </c>
      <c r="Q129" s="22" t="n">
        <v>0.137006492</v>
      </c>
      <c r="R129" s="22" t="n">
        <v>0.137006492000001</v>
      </c>
      <c r="S129" s="24" t="n">
        <f aca="false">(R129-Q129)/Q129</f>
        <v>6.4827469613639E-015</v>
      </c>
      <c r="T129" s="20" t="s">
        <v>252</v>
      </c>
      <c r="U129" s="20"/>
      <c r="V129" s="20" t="s">
        <v>551</v>
      </c>
    </row>
    <row r="130" customFormat="false" ht="15" hidden="false" customHeight="false" outlineLevel="0" collapsed="false">
      <c r="A130" s="20" t="s">
        <v>552</v>
      </c>
      <c r="B130" s="20" t="s">
        <v>268</v>
      </c>
      <c r="C130" s="20" t="s">
        <v>269</v>
      </c>
      <c r="D130" s="20" t="s">
        <v>538</v>
      </c>
      <c r="E130" s="20" t="s">
        <v>291</v>
      </c>
      <c r="F130" s="20" t="s">
        <v>153</v>
      </c>
      <c r="G130" s="20" t="n">
        <v>1</v>
      </c>
      <c r="H130" s="21"/>
      <c r="I130" s="21" t="n">
        <v>7.21086799999996</v>
      </c>
      <c r="J130" s="22" t="n">
        <v>0.137006491999999</v>
      </c>
      <c r="K130" s="21" t="n">
        <v>15.2739999999999</v>
      </c>
      <c r="L130" s="20" t="n">
        <v>19</v>
      </c>
      <c r="M130" s="20"/>
      <c r="N130" s="23"/>
      <c r="O130" s="23"/>
      <c r="P130" s="21" t="n">
        <v>7.21086799999996</v>
      </c>
      <c r="Q130" s="22" t="n">
        <v>0.137006491999999</v>
      </c>
      <c r="R130" s="22" t="n">
        <v>0.137006492</v>
      </c>
      <c r="S130" s="24" t="n">
        <f aca="false">(R130-Q130)/Q130</f>
        <v>5.67240359119343E-015</v>
      </c>
      <c r="T130" s="20" t="s">
        <v>252</v>
      </c>
      <c r="U130" s="20"/>
      <c r="V130" s="20" t="s">
        <v>553</v>
      </c>
    </row>
    <row r="131" customFormat="false" ht="15" hidden="false" customHeight="false" outlineLevel="0" collapsed="false">
      <c r="A131" s="20" t="s">
        <v>554</v>
      </c>
      <c r="B131" s="20" t="s">
        <v>268</v>
      </c>
      <c r="C131" s="20" t="s">
        <v>269</v>
      </c>
      <c r="D131" s="20" t="s">
        <v>555</v>
      </c>
      <c r="E131" s="20" t="s">
        <v>271</v>
      </c>
      <c r="F131" s="20" t="s">
        <v>155</v>
      </c>
      <c r="G131" s="20" t="n">
        <v>1</v>
      </c>
      <c r="H131" s="21"/>
      <c r="I131" s="21" t="n">
        <v>12.9540699999997</v>
      </c>
      <c r="J131" s="22" t="n">
        <v>0.168402909999997</v>
      </c>
      <c r="K131" s="21" t="n">
        <v>16.0779999999999</v>
      </c>
      <c r="L131" s="20" t="n">
        <v>13</v>
      </c>
      <c r="M131" s="20"/>
      <c r="N131" s="23"/>
      <c r="O131" s="23"/>
      <c r="P131" s="21" t="n">
        <v>12.9540699999997</v>
      </c>
      <c r="Q131" s="22" t="n">
        <v>0.168402909999997</v>
      </c>
      <c r="R131" s="22" t="n">
        <v>0.168402909999997</v>
      </c>
      <c r="S131" s="24" t="n">
        <f aca="false">(R131-Q131)/Q131</f>
        <v>0</v>
      </c>
      <c r="T131" s="20" t="s">
        <v>252</v>
      </c>
      <c r="U131" s="20"/>
      <c r="V131" s="20" t="s">
        <v>556</v>
      </c>
    </row>
    <row r="132" customFormat="false" ht="15" hidden="false" customHeight="false" outlineLevel="0" collapsed="false">
      <c r="A132" s="20" t="s">
        <v>557</v>
      </c>
      <c r="B132" s="20" t="s">
        <v>268</v>
      </c>
      <c r="C132" s="20" t="s">
        <v>269</v>
      </c>
      <c r="D132" s="20" t="s">
        <v>555</v>
      </c>
      <c r="E132" s="20" t="s">
        <v>271</v>
      </c>
      <c r="F132" s="20" t="s">
        <v>155</v>
      </c>
      <c r="G132" s="20" t="n">
        <v>1</v>
      </c>
      <c r="H132" s="21"/>
      <c r="I132" s="21" t="n">
        <v>3.16097600000004</v>
      </c>
      <c r="J132" s="22" t="n">
        <v>0.0410926880000006</v>
      </c>
      <c r="K132" s="21" t="n">
        <v>7.25400000000006</v>
      </c>
      <c r="L132" s="20" t="n">
        <v>13</v>
      </c>
      <c r="M132" s="20"/>
      <c r="N132" s="23"/>
      <c r="O132" s="23"/>
      <c r="P132" s="21" t="n">
        <v>3.16097600000004</v>
      </c>
      <c r="Q132" s="22" t="n">
        <v>0.0410926880000006</v>
      </c>
      <c r="R132" s="22" t="n">
        <v>0.0410926880000007</v>
      </c>
      <c r="S132" s="24" t="n">
        <f aca="false">(R132-Q132)/Q132</f>
        <v>4.39034899594754E-015</v>
      </c>
      <c r="T132" s="20" t="s">
        <v>252</v>
      </c>
      <c r="U132" s="20"/>
      <c r="V132" s="20" t="s">
        <v>558</v>
      </c>
    </row>
    <row r="133" customFormat="false" ht="15" hidden="false" customHeight="false" outlineLevel="0" collapsed="false">
      <c r="A133" s="20" t="s">
        <v>559</v>
      </c>
      <c r="B133" s="20" t="s">
        <v>268</v>
      </c>
      <c r="C133" s="20" t="s">
        <v>269</v>
      </c>
      <c r="D133" s="20" t="s">
        <v>555</v>
      </c>
      <c r="E133" s="20" t="s">
        <v>271</v>
      </c>
      <c r="F133" s="20" t="s">
        <v>155</v>
      </c>
      <c r="G133" s="20" t="n">
        <v>1</v>
      </c>
      <c r="H133" s="21"/>
      <c r="I133" s="21" t="n">
        <v>3.16097600000007</v>
      </c>
      <c r="J133" s="22" t="n">
        <v>0.041092688000001</v>
      </c>
      <c r="K133" s="21" t="n">
        <v>7.2540000000001</v>
      </c>
      <c r="L133" s="20" t="n">
        <v>13</v>
      </c>
      <c r="M133" s="20"/>
      <c r="N133" s="23"/>
      <c r="O133" s="23"/>
      <c r="P133" s="21" t="n">
        <v>3.16097600000007</v>
      </c>
      <c r="Q133" s="22" t="n">
        <v>0.041092688000001</v>
      </c>
      <c r="R133" s="22" t="n">
        <v>0.041092688000001</v>
      </c>
      <c r="S133" s="24" t="n">
        <f aca="false">(R133-Q133)/Q133</f>
        <v>0</v>
      </c>
      <c r="T133" s="20" t="s">
        <v>252</v>
      </c>
      <c r="U133" s="20"/>
      <c r="V133" s="20" t="s">
        <v>560</v>
      </c>
    </row>
    <row r="134" customFormat="false" ht="15" hidden="false" customHeight="false" outlineLevel="0" collapsed="false">
      <c r="A134" s="20" t="s">
        <v>561</v>
      </c>
      <c r="B134" s="20" t="s">
        <v>268</v>
      </c>
      <c r="C134" s="20" t="s">
        <v>269</v>
      </c>
      <c r="D134" s="20" t="s">
        <v>555</v>
      </c>
      <c r="E134" s="20" t="s">
        <v>271</v>
      </c>
      <c r="F134" s="20" t="s">
        <v>155</v>
      </c>
      <c r="G134" s="20" t="n">
        <v>1</v>
      </c>
      <c r="H134" s="21"/>
      <c r="I134" s="21" t="n">
        <v>12.9540699999998</v>
      </c>
      <c r="J134" s="22" t="n">
        <v>0.168402909999997</v>
      </c>
      <c r="K134" s="21" t="n">
        <v>16.0779999999999</v>
      </c>
      <c r="L134" s="20" t="n">
        <v>13</v>
      </c>
      <c r="M134" s="20"/>
      <c r="N134" s="23"/>
      <c r="O134" s="23"/>
      <c r="P134" s="21" t="n">
        <v>12.9540699999998</v>
      </c>
      <c r="Q134" s="22" t="n">
        <v>0.168402909999997</v>
      </c>
      <c r="R134" s="22" t="n">
        <v>0.168402909999997</v>
      </c>
      <c r="S134" s="24" t="n">
        <f aca="false">(R134-Q134)/Q134</f>
        <v>0</v>
      </c>
      <c r="T134" s="20" t="s">
        <v>252</v>
      </c>
      <c r="U134" s="20"/>
      <c r="V134" s="20" t="s">
        <v>562</v>
      </c>
    </row>
    <row r="135" customFormat="false" ht="15" hidden="false" customHeight="false" outlineLevel="0" collapsed="false">
      <c r="A135" s="20" t="s">
        <v>563</v>
      </c>
      <c r="B135" s="20" t="s">
        <v>268</v>
      </c>
      <c r="C135" s="20" t="s">
        <v>269</v>
      </c>
      <c r="D135" s="20" t="s">
        <v>555</v>
      </c>
      <c r="E135" s="20" t="s">
        <v>291</v>
      </c>
      <c r="F135" s="20" t="s">
        <v>155</v>
      </c>
      <c r="G135" s="20" t="n">
        <v>1</v>
      </c>
      <c r="H135" s="21"/>
      <c r="I135" s="21" t="n">
        <v>6.33983999999996</v>
      </c>
      <c r="J135" s="22" t="n">
        <v>0.0824179199999979</v>
      </c>
      <c r="K135" s="21" t="n">
        <v>11.368</v>
      </c>
      <c r="L135" s="20" t="n">
        <v>13</v>
      </c>
      <c r="M135" s="20"/>
      <c r="N135" s="23"/>
      <c r="O135" s="23"/>
      <c r="P135" s="21" t="n">
        <v>6.33983999999996</v>
      </c>
      <c r="Q135" s="22" t="n">
        <v>0.0824179199999979</v>
      </c>
      <c r="R135" s="22" t="n">
        <v>0.0824179199999991</v>
      </c>
      <c r="S135" s="24" t="n">
        <f aca="false">(R135-Q135)/Q135</f>
        <v>1.3470650856333E-014</v>
      </c>
      <c r="T135" s="20" t="s">
        <v>252</v>
      </c>
      <c r="U135" s="20"/>
      <c r="V135" s="20" t="s">
        <v>564</v>
      </c>
    </row>
    <row r="136" customFormat="false" ht="15" hidden="false" customHeight="false" outlineLevel="0" collapsed="false">
      <c r="A136" s="20" t="s">
        <v>565</v>
      </c>
      <c r="B136" s="20" t="s">
        <v>268</v>
      </c>
      <c r="C136" s="20" t="s">
        <v>269</v>
      </c>
      <c r="D136" s="20" t="s">
        <v>555</v>
      </c>
      <c r="E136" s="20" t="s">
        <v>291</v>
      </c>
      <c r="F136" s="20" t="s">
        <v>155</v>
      </c>
      <c r="G136" s="20" t="n">
        <v>1</v>
      </c>
      <c r="H136" s="21"/>
      <c r="I136" s="21" t="n">
        <v>6.33984000000007</v>
      </c>
      <c r="J136" s="22" t="n">
        <v>0.0824179199999994</v>
      </c>
      <c r="K136" s="21" t="n">
        <v>11.3680000000001</v>
      </c>
      <c r="L136" s="20" t="n">
        <v>13</v>
      </c>
      <c r="M136" s="20"/>
      <c r="N136" s="23"/>
      <c r="O136" s="23"/>
      <c r="P136" s="21" t="n">
        <v>6.33984000000007</v>
      </c>
      <c r="Q136" s="22" t="n">
        <v>0.0824179199999994</v>
      </c>
      <c r="R136" s="22" t="n">
        <v>0.0824179200000003</v>
      </c>
      <c r="S136" s="24" t="n">
        <f aca="false">(R136-Q136)/Q136</f>
        <v>1.09449038207704E-014</v>
      </c>
      <c r="T136" s="20" t="s">
        <v>252</v>
      </c>
      <c r="U136" s="20"/>
      <c r="V136" s="20" t="s">
        <v>566</v>
      </c>
    </row>
    <row r="137" customFormat="false" ht="15" hidden="false" customHeight="false" outlineLevel="0" collapsed="false">
      <c r="A137" s="20" t="s">
        <v>567</v>
      </c>
      <c r="B137" s="20" t="s">
        <v>568</v>
      </c>
      <c r="C137" s="20" t="s">
        <v>569</v>
      </c>
      <c r="D137" s="20" t="s">
        <v>570</v>
      </c>
      <c r="E137" s="20" t="s">
        <v>271</v>
      </c>
      <c r="F137" s="20" t="s">
        <v>160</v>
      </c>
      <c r="G137" s="20" t="n">
        <v>1</v>
      </c>
      <c r="H137" s="21"/>
      <c r="I137" s="21" t="n">
        <v>57.0343455999998</v>
      </c>
      <c r="J137" s="22" t="n">
        <v>3.25095769919999</v>
      </c>
      <c r="K137" s="21" t="n">
        <v>42.9239999999999</v>
      </c>
      <c r="L137" s="20" t="n">
        <v>57</v>
      </c>
      <c r="M137" s="20"/>
      <c r="N137" s="23"/>
      <c r="O137" s="23"/>
      <c r="P137" s="21" t="n">
        <v>57.0343455999998</v>
      </c>
      <c r="Q137" s="22" t="n">
        <v>3.25095769919999</v>
      </c>
      <c r="R137" s="22" t="n">
        <v>3.25095769919998</v>
      </c>
      <c r="S137" s="24" t="n">
        <f aca="false">(R137-Q137)/Q137</f>
        <v>0</v>
      </c>
      <c r="T137" s="20" t="s">
        <v>309</v>
      </c>
      <c r="U137" s="20"/>
      <c r="V137" s="20" t="s">
        <v>571</v>
      </c>
    </row>
    <row r="138" customFormat="false" ht="15" hidden="false" customHeight="false" outlineLevel="0" collapsed="false">
      <c r="A138" s="20" t="s">
        <v>572</v>
      </c>
      <c r="B138" s="20" t="s">
        <v>568</v>
      </c>
      <c r="C138" s="20" t="s">
        <v>569</v>
      </c>
      <c r="D138" s="20" t="s">
        <v>570</v>
      </c>
      <c r="E138" s="20" t="s">
        <v>271</v>
      </c>
      <c r="F138" s="20" t="s">
        <v>160</v>
      </c>
      <c r="G138" s="20" t="n">
        <v>1</v>
      </c>
      <c r="H138" s="21"/>
      <c r="I138" s="21" t="n">
        <v>3.17644800000005</v>
      </c>
      <c r="J138" s="22" t="n">
        <v>0.181057536000003</v>
      </c>
      <c r="K138" s="21" t="n">
        <v>7.19800000000006</v>
      </c>
      <c r="L138" s="20" t="n">
        <v>57</v>
      </c>
      <c r="M138" s="20"/>
      <c r="N138" s="23"/>
      <c r="O138" s="23"/>
      <c r="P138" s="21" t="n">
        <v>3.17644800000005</v>
      </c>
      <c r="Q138" s="22" t="n">
        <v>0.181057536000003</v>
      </c>
      <c r="R138" s="22" t="n">
        <v>0.181057536000002</v>
      </c>
      <c r="S138" s="24" t="n">
        <f aca="false">(R138-Q138)/Q138</f>
        <v>0</v>
      </c>
      <c r="T138" s="20" t="s">
        <v>309</v>
      </c>
      <c r="U138" s="20"/>
      <c r="V138" s="20" t="s">
        <v>573</v>
      </c>
    </row>
    <row r="139" customFormat="false" ht="15" hidden="false" customHeight="false" outlineLevel="0" collapsed="false">
      <c r="A139" s="20" t="s">
        <v>574</v>
      </c>
      <c r="B139" s="20" t="s">
        <v>568</v>
      </c>
      <c r="C139" s="20" t="s">
        <v>569</v>
      </c>
      <c r="D139" s="20" t="s">
        <v>570</v>
      </c>
      <c r="E139" s="20" t="s">
        <v>271</v>
      </c>
      <c r="F139" s="20" t="s">
        <v>160</v>
      </c>
      <c r="G139" s="20" t="n">
        <v>1</v>
      </c>
      <c r="H139" s="21"/>
      <c r="I139" s="21" t="n">
        <v>3.17644800000005</v>
      </c>
      <c r="J139" s="22" t="n">
        <v>0.181057536000003</v>
      </c>
      <c r="K139" s="21" t="n">
        <v>7.19800000000006</v>
      </c>
      <c r="L139" s="20" t="n">
        <v>57</v>
      </c>
      <c r="M139" s="20"/>
      <c r="N139" s="23"/>
      <c r="O139" s="23"/>
      <c r="P139" s="21" t="n">
        <v>3.17644800000005</v>
      </c>
      <c r="Q139" s="22" t="n">
        <v>0.181057536000003</v>
      </c>
      <c r="R139" s="22" t="n">
        <v>0.181057536000002</v>
      </c>
      <c r="S139" s="24" t="n">
        <f aca="false">(R139-Q139)/Q139</f>
        <v>0</v>
      </c>
      <c r="T139" s="20" t="s">
        <v>309</v>
      </c>
      <c r="U139" s="20"/>
      <c r="V139" s="20" t="s">
        <v>575</v>
      </c>
    </row>
    <row r="140" customFormat="false" ht="15" hidden="false" customHeight="false" outlineLevel="0" collapsed="false">
      <c r="A140" s="20" t="s">
        <v>576</v>
      </c>
      <c r="B140" s="20" t="s">
        <v>568</v>
      </c>
      <c r="C140" s="20" t="s">
        <v>569</v>
      </c>
      <c r="D140" s="20" t="s">
        <v>570</v>
      </c>
      <c r="E140" s="20" t="s">
        <v>271</v>
      </c>
      <c r="F140" s="20" t="s">
        <v>160</v>
      </c>
      <c r="G140" s="20" t="n">
        <v>1</v>
      </c>
      <c r="H140" s="21"/>
      <c r="I140" s="21" t="n">
        <v>3.36722100000005</v>
      </c>
      <c r="J140" s="22" t="n">
        <v>0.191931597000003</v>
      </c>
      <c r="K140" s="21" t="n">
        <v>7.44400000000007</v>
      </c>
      <c r="L140" s="20" t="n">
        <v>57</v>
      </c>
      <c r="M140" s="20"/>
      <c r="N140" s="23"/>
      <c r="O140" s="23"/>
      <c r="P140" s="21" t="n">
        <v>3.36722100000005</v>
      </c>
      <c r="Q140" s="22" t="n">
        <v>0.191931597000003</v>
      </c>
      <c r="R140" s="22" t="n">
        <v>0.191931597000003</v>
      </c>
      <c r="S140" s="24" t="n">
        <f aca="false">(R140-Q140)/Q140</f>
        <v>0</v>
      </c>
      <c r="T140" s="20" t="s">
        <v>309</v>
      </c>
      <c r="U140" s="20"/>
      <c r="V140" s="20" t="s">
        <v>577</v>
      </c>
    </row>
    <row r="141" customFormat="false" ht="15" hidden="false" customHeight="false" outlineLevel="0" collapsed="false">
      <c r="A141" s="20" t="s">
        <v>578</v>
      </c>
      <c r="B141" s="20" t="s">
        <v>568</v>
      </c>
      <c r="C141" s="20" t="s">
        <v>569</v>
      </c>
      <c r="D141" s="20" t="s">
        <v>570</v>
      </c>
      <c r="E141" s="20" t="s">
        <v>271</v>
      </c>
      <c r="F141" s="20" t="s">
        <v>160</v>
      </c>
      <c r="G141" s="20" t="n">
        <v>1</v>
      </c>
      <c r="H141" s="21"/>
      <c r="I141" s="21" t="n">
        <v>56.4575005999996</v>
      </c>
      <c r="J141" s="22" t="n">
        <v>3.21807753419998</v>
      </c>
      <c r="K141" s="21" t="n">
        <v>42.5739999999999</v>
      </c>
      <c r="L141" s="20" t="n">
        <v>57</v>
      </c>
      <c r="M141" s="20"/>
      <c r="N141" s="23"/>
      <c r="O141" s="23"/>
      <c r="P141" s="21" t="n">
        <v>56.4575005999996</v>
      </c>
      <c r="Q141" s="22" t="n">
        <v>3.21807753419998</v>
      </c>
      <c r="R141" s="22" t="n">
        <v>3.21807753419997</v>
      </c>
      <c r="S141" s="24" t="n">
        <f aca="false">(R141-Q141)/Q141</f>
        <v>0</v>
      </c>
      <c r="T141" s="20" t="s">
        <v>309</v>
      </c>
      <c r="U141" s="20"/>
      <c r="V141" s="20" t="s">
        <v>579</v>
      </c>
    </row>
    <row r="142" customFormat="false" ht="15" hidden="false" customHeight="false" outlineLevel="0" collapsed="false">
      <c r="A142" s="20" t="s">
        <v>580</v>
      </c>
      <c r="B142" s="20" t="s">
        <v>568</v>
      </c>
      <c r="C142" s="20" t="s">
        <v>569</v>
      </c>
      <c r="D142" s="20" t="s">
        <v>570</v>
      </c>
      <c r="E142" s="20" t="s">
        <v>291</v>
      </c>
      <c r="F142" s="20" t="s">
        <v>160</v>
      </c>
      <c r="G142" s="20" t="n">
        <v>1</v>
      </c>
      <c r="H142" s="21"/>
      <c r="I142" s="21" t="n">
        <v>22.043232</v>
      </c>
      <c r="J142" s="22" t="n">
        <v>1.256464224</v>
      </c>
      <c r="K142" s="21" t="n">
        <v>19.914</v>
      </c>
      <c r="L142" s="20" t="n">
        <v>57</v>
      </c>
      <c r="M142" s="20"/>
      <c r="N142" s="23"/>
      <c r="O142" s="23"/>
      <c r="P142" s="21" t="n">
        <v>22.043232</v>
      </c>
      <c r="Q142" s="22" t="n">
        <v>1.256464224</v>
      </c>
      <c r="R142" s="22" t="n">
        <v>1.25646422400001</v>
      </c>
      <c r="S142" s="24" t="n">
        <f aca="false">(R142-Q142)/Q142</f>
        <v>6.36198438810554E-015</v>
      </c>
      <c r="T142" s="20" t="s">
        <v>309</v>
      </c>
      <c r="U142" s="20"/>
      <c r="V142" s="20" t="s">
        <v>581</v>
      </c>
    </row>
    <row r="143" customFormat="false" ht="15" hidden="false" customHeight="false" outlineLevel="0" collapsed="false">
      <c r="A143" s="20" t="s">
        <v>582</v>
      </c>
      <c r="B143" s="20" t="s">
        <v>568</v>
      </c>
      <c r="C143" s="20" t="s">
        <v>569</v>
      </c>
      <c r="D143" s="20" t="s">
        <v>570</v>
      </c>
      <c r="E143" s="20" t="s">
        <v>291</v>
      </c>
      <c r="F143" s="20" t="s">
        <v>160</v>
      </c>
      <c r="G143" s="20" t="n">
        <v>1</v>
      </c>
      <c r="H143" s="21"/>
      <c r="I143" s="21" t="n">
        <v>22.043232</v>
      </c>
      <c r="J143" s="22" t="n">
        <v>1.256464224</v>
      </c>
      <c r="K143" s="21" t="n">
        <v>19.914</v>
      </c>
      <c r="L143" s="20" t="n">
        <v>57</v>
      </c>
      <c r="M143" s="20"/>
      <c r="N143" s="23"/>
      <c r="O143" s="23"/>
      <c r="P143" s="21" t="n">
        <v>22.043232</v>
      </c>
      <c r="Q143" s="22" t="n">
        <v>1.256464224</v>
      </c>
      <c r="R143" s="22" t="n">
        <v>1.25646422400001</v>
      </c>
      <c r="S143" s="24" t="n">
        <f aca="false">(R143-Q143)/Q143</f>
        <v>6.36198438810554E-015</v>
      </c>
      <c r="T143" s="20" t="s">
        <v>309</v>
      </c>
      <c r="U143" s="20"/>
      <c r="V143" s="20" t="s">
        <v>583</v>
      </c>
    </row>
    <row r="144" customFormat="false" ht="15" hidden="false" customHeight="false" outlineLevel="0" collapsed="false">
      <c r="A144" s="20" t="s">
        <v>584</v>
      </c>
      <c r="B144" s="20" t="s">
        <v>568</v>
      </c>
      <c r="C144" s="20" t="s">
        <v>569</v>
      </c>
      <c r="D144" s="20" t="s">
        <v>570</v>
      </c>
      <c r="E144" s="20" t="s">
        <v>291</v>
      </c>
      <c r="F144" s="20" t="s">
        <v>160</v>
      </c>
      <c r="G144" s="20" t="n">
        <v>1</v>
      </c>
      <c r="H144" s="21"/>
      <c r="I144" s="21" t="n">
        <v>6.73504000000008</v>
      </c>
      <c r="J144" s="22" t="n">
        <v>0.383897280000005</v>
      </c>
      <c r="K144" s="21" t="n">
        <v>11.558</v>
      </c>
      <c r="L144" s="20" t="n">
        <v>57</v>
      </c>
      <c r="M144" s="20"/>
      <c r="N144" s="23"/>
      <c r="O144" s="23"/>
      <c r="P144" s="21" t="n">
        <v>6.73504000000008</v>
      </c>
      <c r="Q144" s="22" t="n">
        <v>0.383897280000005</v>
      </c>
      <c r="R144" s="22" t="n">
        <v>0.383897280000007</v>
      </c>
      <c r="S144" s="24" t="n">
        <f aca="false">(R144-Q144)/Q144</f>
        <v>6.65155261490217E-015</v>
      </c>
      <c r="T144" s="20" t="s">
        <v>309</v>
      </c>
      <c r="U144" s="20"/>
      <c r="V144" s="20" t="s">
        <v>585</v>
      </c>
    </row>
    <row r="145" customFormat="false" ht="15" hidden="false" customHeight="false" outlineLevel="0" collapsed="false">
      <c r="A145" s="20" t="s">
        <v>586</v>
      </c>
      <c r="B145" s="20" t="s">
        <v>568</v>
      </c>
      <c r="C145" s="20" t="s">
        <v>569</v>
      </c>
      <c r="D145" s="20" t="s">
        <v>570</v>
      </c>
      <c r="E145" s="20" t="s">
        <v>291</v>
      </c>
      <c r="F145" s="20" t="s">
        <v>160</v>
      </c>
      <c r="G145" s="20" t="n">
        <v>1</v>
      </c>
      <c r="H145" s="21"/>
      <c r="I145" s="21" t="n">
        <v>9.30193998999993</v>
      </c>
      <c r="J145" s="22" t="n">
        <v>0.530210579429996</v>
      </c>
      <c r="K145" s="21" t="n">
        <v>18.7503999999999</v>
      </c>
      <c r="L145" s="20" t="n">
        <v>57</v>
      </c>
      <c r="M145" s="20"/>
      <c r="N145" s="23"/>
      <c r="O145" s="23"/>
      <c r="P145" s="21" t="n">
        <v>9.30193998999993</v>
      </c>
      <c r="Q145" s="22" t="n">
        <v>0.530210579429996</v>
      </c>
      <c r="R145" s="22" t="n">
        <v>0.530210579429992</v>
      </c>
      <c r="S145" s="24" t="n">
        <f aca="false">(R145-Q145)/Q145</f>
        <v>-8.37571385934022E-015</v>
      </c>
      <c r="T145" s="20" t="s">
        <v>309</v>
      </c>
      <c r="U145" s="20"/>
      <c r="V145" s="20" t="s">
        <v>587</v>
      </c>
    </row>
    <row r="146" customFormat="false" ht="15" hidden="false" customHeight="false" outlineLevel="0" collapsed="false">
      <c r="A146" s="20" t="s">
        <v>588</v>
      </c>
      <c r="B146" s="20" t="s">
        <v>568</v>
      </c>
      <c r="C146" s="20" t="s">
        <v>569</v>
      </c>
      <c r="D146" s="20" t="s">
        <v>570</v>
      </c>
      <c r="E146" s="20" t="s">
        <v>291</v>
      </c>
      <c r="F146" s="20" t="s">
        <v>160</v>
      </c>
      <c r="G146" s="20" t="n">
        <v>1</v>
      </c>
      <c r="H146" s="21"/>
      <c r="I146" s="21" t="n">
        <v>6.73503999999995</v>
      </c>
      <c r="J146" s="22" t="n">
        <v>0.383897279999997</v>
      </c>
      <c r="K146" s="21" t="n">
        <v>11.558</v>
      </c>
      <c r="L146" s="20" t="n">
        <v>57</v>
      </c>
      <c r="M146" s="20"/>
      <c r="N146" s="23"/>
      <c r="O146" s="23"/>
      <c r="P146" s="21" t="n">
        <v>6.73503999999995</v>
      </c>
      <c r="Q146" s="22" t="n">
        <v>0.383897279999997</v>
      </c>
      <c r="R146" s="22" t="n">
        <v>0.38389728</v>
      </c>
      <c r="S146" s="24" t="n">
        <f aca="false">(R146-Q146)/Q146</f>
        <v>6.21775570523475E-015</v>
      </c>
      <c r="T146" s="20" t="s">
        <v>309</v>
      </c>
      <c r="U146" s="20"/>
      <c r="V146" s="20" t="s">
        <v>589</v>
      </c>
    </row>
    <row r="147" customFormat="false" ht="15" hidden="false" customHeight="false" outlineLevel="0" collapsed="false">
      <c r="A147" s="20" t="s">
        <v>590</v>
      </c>
      <c r="B147" s="20" t="s">
        <v>568</v>
      </c>
      <c r="C147" s="20" t="s">
        <v>569</v>
      </c>
      <c r="D147" s="20" t="s">
        <v>570</v>
      </c>
      <c r="E147" s="20" t="s">
        <v>291</v>
      </c>
      <c r="F147" s="20" t="s">
        <v>160</v>
      </c>
      <c r="G147" s="20" t="n">
        <v>1</v>
      </c>
      <c r="H147" s="21"/>
      <c r="I147" s="21" t="n">
        <v>9.30193999000001</v>
      </c>
      <c r="J147" s="22" t="n">
        <v>0.530210579430001</v>
      </c>
      <c r="K147" s="21" t="n">
        <v>18.7503999999999</v>
      </c>
      <c r="L147" s="20" t="n">
        <v>57</v>
      </c>
      <c r="M147" s="20"/>
      <c r="N147" s="23"/>
      <c r="O147" s="23"/>
      <c r="P147" s="21" t="n">
        <v>9.30193999000001</v>
      </c>
      <c r="Q147" s="22" t="n">
        <v>0.530210579430001</v>
      </c>
      <c r="R147" s="22" t="n">
        <v>0.530210579429996</v>
      </c>
      <c r="S147" s="24" t="n">
        <f aca="false">(R147-Q147)/Q147</f>
        <v>-8.58510670582365E-015</v>
      </c>
      <c r="T147" s="20" t="s">
        <v>309</v>
      </c>
      <c r="U147" s="20"/>
      <c r="V147" s="20" t="s">
        <v>591</v>
      </c>
    </row>
    <row r="148" customFormat="false" ht="15" hidden="false" customHeight="false" outlineLevel="0" collapsed="false">
      <c r="A148" s="20" t="s">
        <v>592</v>
      </c>
      <c r="B148" s="20" t="s">
        <v>568</v>
      </c>
      <c r="C148" s="20" t="s">
        <v>569</v>
      </c>
      <c r="D148" s="20" t="s">
        <v>570</v>
      </c>
      <c r="E148" s="20" t="s">
        <v>291</v>
      </c>
      <c r="F148" s="20" t="s">
        <v>160</v>
      </c>
      <c r="G148" s="20" t="n">
        <v>1</v>
      </c>
      <c r="H148" s="21"/>
      <c r="I148" s="21" t="n">
        <v>22.0432319999998</v>
      </c>
      <c r="J148" s="22" t="n">
        <v>1.25646422399999</v>
      </c>
      <c r="K148" s="21" t="n">
        <v>19.9139999999999</v>
      </c>
      <c r="L148" s="20" t="n">
        <v>57</v>
      </c>
      <c r="M148" s="20"/>
      <c r="N148" s="23"/>
      <c r="O148" s="23"/>
      <c r="P148" s="21" t="n">
        <v>22.0432319999998</v>
      </c>
      <c r="Q148" s="22" t="n">
        <v>1.25646422399999</v>
      </c>
      <c r="R148" s="22" t="n">
        <v>1.256464224</v>
      </c>
      <c r="S148" s="24" t="n">
        <f aca="false">(R148-Q148)/Q148</f>
        <v>6.36198438810558E-015</v>
      </c>
      <c r="T148" s="20" t="s">
        <v>309</v>
      </c>
      <c r="U148" s="20"/>
      <c r="V148" s="20" t="s">
        <v>593</v>
      </c>
    </row>
    <row r="149" customFormat="false" ht="15" hidden="false" customHeight="false" outlineLevel="0" collapsed="false">
      <c r="A149" s="20" t="s">
        <v>594</v>
      </c>
      <c r="B149" s="20" t="s">
        <v>568</v>
      </c>
      <c r="C149" s="20" t="s">
        <v>569</v>
      </c>
      <c r="D149" s="20" t="s">
        <v>570</v>
      </c>
      <c r="E149" s="20" t="s">
        <v>291</v>
      </c>
      <c r="F149" s="20" t="s">
        <v>160</v>
      </c>
      <c r="G149" s="20" t="n">
        <v>1</v>
      </c>
      <c r="H149" s="21"/>
      <c r="I149" s="21" t="n">
        <v>22.043232</v>
      </c>
      <c r="J149" s="22" t="n">
        <v>1.256464224</v>
      </c>
      <c r="K149" s="21" t="n">
        <v>19.914</v>
      </c>
      <c r="L149" s="20" t="n">
        <v>57</v>
      </c>
      <c r="M149" s="20"/>
      <c r="N149" s="23"/>
      <c r="O149" s="23"/>
      <c r="P149" s="21" t="n">
        <v>22.043232</v>
      </c>
      <c r="Q149" s="22" t="n">
        <v>1.256464224</v>
      </c>
      <c r="R149" s="22" t="n">
        <v>1.25646422400001</v>
      </c>
      <c r="S149" s="24" t="n">
        <f aca="false">(R149-Q149)/Q149</f>
        <v>6.36198438810553E-015</v>
      </c>
      <c r="T149" s="20" t="s">
        <v>309</v>
      </c>
      <c r="U149" s="20"/>
      <c r="V149" s="20" t="s">
        <v>595</v>
      </c>
    </row>
    <row r="150" customFormat="false" ht="15" hidden="false" customHeight="false" outlineLevel="0" collapsed="false">
      <c r="A150" s="20" t="s">
        <v>596</v>
      </c>
      <c r="B150" s="20" t="s">
        <v>597</v>
      </c>
      <c r="C150" s="20" t="s">
        <v>598</v>
      </c>
      <c r="D150" s="20" t="s">
        <v>599</v>
      </c>
      <c r="E150" s="20" t="s">
        <v>271</v>
      </c>
      <c r="F150" s="20" t="s">
        <v>169</v>
      </c>
      <c r="G150" s="20" t="n">
        <v>1</v>
      </c>
      <c r="H150" s="21"/>
      <c r="I150" s="21"/>
      <c r="J150" s="22"/>
      <c r="K150" s="21"/>
      <c r="L150" s="20"/>
      <c r="M150" s="20"/>
      <c r="N150" s="23"/>
      <c r="O150" s="23"/>
      <c r="P150" s="21"/>
      <c r="Q150" s="22"/>
      <c r="R150" s="22" t="n">
        <v>0.0854471046978487</v>
      </c>
      <c r="S150" s="24"/>
      <c r="T150" s="20" t="s">
        <v>85</v>
      </c>
      <c r="U150" s="20"/>
      <c r="V150" s="20" t="s">
        <v>600</v>
      </c>
    </row>
    <row r="151" customFormat="false" ht="15" hidden="false" customHeight="false" outlineLevel="0" collapsed="false">
      <c r="A151" s="20" t="s">
        <v>601</v>
      </c>
      <c r="B151" s="20" t="s">
        <v>597</v>
      </c>
      <c r="C151" s="20" t="s">
        <v>598</v>
      </c>
      <c r="D151" s="20" t="s">
        <v>599</v>
      </c>
      <c r="E151" s="20" t="s">
        <v>271</v>
      </c>
      <c r="F151" s="20" t="s">
        <v>169</v>
      </c>
      <c r="G151" s="20" t="n">
        <v>1</v>
      </c>
      <c r="H151" s="21"/>
      <c r="I151" s="21"/>
      <c r="J151" s="22"/>
      <c r="K151" s="21"/>
      <c r="L151" s="20"/>
      <c r="M151" s="20"/>
      <c r="N151" s="23"/>
      <c r="O151" s="23"/>
      <c r="P151" s="21"/>
      <c r="Q151" s="22"/>
      <c r="R151" s="22" t="n">
        <v>0.0854471046978505</v>
      </c>
      <c r="S151" s="24"/>
      <c r="T151" s="20" t="s">
        <v>85</v>
      </c>
      <c r="U151" s="20"/>
      <c r="V151" s="20" t="s">
        <v>602</v>
      </c>
    </row>
    <row r="152" customFormat="false" ht="15" hidden="false" customHeight="false" outlineLevel="0" collapsed="false">
      <c r="A152" s="20" t="s">
        <v>603</v>
      </c>
      <c r="B152" s="20" t="s">
        <v>597</v>
      </c>
      <c r="C152" s="20" t="s">
        <v>598</v>
      </c>
      <c r="D152" s="20" t="s">
        <v>599</v>
      </c>
      <c r="E152" s="20" t="s">
        <v>271</v>
      </c>
      <c r="F152" s="20" t="s">
        <v>169</v>
      </c>
      <c r="G152" s="20" t="n">
        <v>1</v>
      </c>
      <c r="H152" s="21"/>
      <c r="I152" s="21"/>
      <c r="J152" s="22"/>
      <c r="K152" s="21"/>
      <c r="L152" s="20"/>
      <c r="M152" s="20"/>
      <c r="N152" s="23"/>
      <c r="O152" s="23"/>
      <c r="P152" s="21"/>
      <c r="Q152" s="22"/>
      <c r="R152" s="22" t="n">
        <v>0.0854471046978492</v>
      </c>
      <c r="S152" s="24"/>
      <c r="T152" s="20" t="s">
        <v>85</v>
      </c>
      <c r="U152" s="20"/>
      <c r="V152" s="20" t="s">
        <v>604</v>
      </c>
    </row>
    <row r="153" customFormat="false" ht="15" hidden="false" customHeight="false" outlineLevel="0" collapsed="false">
      <c r="A153" s="20" t="s">
        <v>605</v>
      </c>
      <c r="B153" s="20" t="s">
        <v>597</v>
      </c>
      <c r="C153" s="20" t="s">
        <v>598</v>
      </c>
      <c r="D153" s="20" t="s">
        <v>599</v>
      </c>
      <c r="E153" s="20" t="s">
        <v>271</v>
      </c>
      <c r="F153" s="20" t="s">
        <v>169</v>
      </c>
      <c r="G153" s="20" t="n">
        <v>1</v>
      </c>
      <c r="H153" s="21"/>
      <c r="I153" s="21"/>
      <c r="J153" s="22"/>
      <c r="K153" s="21"/>
      <c r="L153" s="20"/>
      <c r="M153" s="20"/>
      <c r="N153" s="23"/>
      <c r="O153" s="23"/>
      <c r="P153" s="21"/>
      <c r="Q153" s="22"/>
      <c r="R153" s="22" t="n">
        <v>0.0854471046978488</v>
      </c>
      <c r="S153" s="24"/>
      <c r="T153" s="20" t="s">
        <v>85</v>
      </c>
      <c r="U153" s="20"/>
      <c r="V153" s="20" t="s">
        <v>606</v>
      </c>
    </row>
    <row r="154" customFormat="false" ht="15" hidden="false" customHeight="false" outlineLevel="0" collapsed="false">
      <c r="A154" s="20" t="s">
        <v>607</v>
      </c>
      <c r="B154" s="20" t="s">
        <v>597</v>
      </c>
      <c r="C154" s="20" t="s">
        <v>598</v>
      </c>
      <c r="D154" s="20" t="s">
        <v>599</v>
      </c>
      <c r="E154" s="20" t="s">
        <v>271</v>
      </c>
      <c r="F154" s="20" t="s">
        <v>169</v>
      </c>
      <c r="G154" s="20" t="n">
        <v>1</v>
      </c>
      <c r="H154" s="21"/>
      <c r="I154" s="21"/>
      <c r="J154" s="22"/>
      <c r="K154" s="21"/>
      <c r="L154" s="20"/>
      <c r="M154" s="20"/>
      <c r="N154" s="23"/>
      <c r="O154" s="23"/>
      <c r="P154" s="21"/>
      <c r="Q154" s="22"/>
      <c r="R154" s="22" t="n">
        <v>0.0854471046978482</v>
      </c>
      <c r="S154" s="24"/>
      <c r="T154" s="20" t="s">
        <v>85</v>
      </c>
      <c r="U154" s="20"/>
      <c r="V154" s="20" t="s">
        <v>608</v>
      </c>
    </row>
    <row r="155" customFormat="false" ht="15" hidden="false" customHeight="false" outlineLevel="0" collapsed="false">
      <c r="A155" s="20" t="s">
        <v>609</v>
      </c>
      <c r="B155" s="20" t="s">
        <v>597</v>
      </c>
      <c r="C155" s="20" t="s">
        <v>598</v>
      </c>
      <c r="D155" s="20" t="s">
        <v>599</v>
      </c>
      <c r="E155" s="20" t="s">
        <v>271</v>
      </c>
      <c r="F155" s="20" t="s">
        <v>169</v>
      </c>
      <c r="G155" s="20" t="n">
        <v>1</v>
      </c>
      <c r="H155" s="21"/>
      <c r="I155" s="21"/>
      <c r="J155" s="22"/>
      <c r="K155" s="21"/>
      <c r="L155" s="20"/>
      <c r="M155" s="20"/>
      <c r="N155" s="23"/>
      <c r="O155" s="23"/>
      <c r="P155" s="21"/>
      <c r="Q155" s="22"/>
      <c r="R155" s="22" t="n">
        <v>0.085447104697848</v>
      </c>
      <c r="S155" s="24"/>
      <c r="T155" s="20" t="s">
        <v>85</v>
      </c>
      <c r="U155" s="20"/>
      <c r="V155" s="20" t="s">
        <v>610</v>
      </c>
    </row>
    <row r="156" customFormat="false" ht="15" hidden="false" customHeight="false" outlineLevel="0" collapsed="false">
      <c r="A156" s="20" t="s">
        <v>611</v>
      </c>
      <c r="B156" s="20" t="s">
        <v>597</v>
      </c>
      <c r="C156" s="20" t="s">
        <v>598</v>
      </c>
      <c r="D156" s="20" t="s">
        <v>599</v>
      </c>
      <c r="E156" s="20" t="s">
        <v>271</v>
      </c>
      <c r="F156" s="20" t="s">
        <v>169</v>
      </c>
      <c r="G156" s="20" t="n">
        <v>1</v>
      </c>
      <c r="H156" s="21"/>
      <c r="I156" s="21"/>
      <c r="J156" s="22"/>
      <c r="K156" s="21"/>
      <c r="L156" s="20"/>
      <c r="M156" s="20"/>
      <c r="N156" s="23"/>
      <c r="O156" s="23"/>
      <c r="P156" s="21"/>
      <c r="Q156" s="22"/>
      <c r="R156" s="22" t="n">
        <v>0.0854471046978482</v>
      </c>
      <c r="S156" s="24"/>
      <c r="T156" s="20" t="s">
        <v>85</v>
      </c>
      <c r="U156" s="20"/>
      <c r="V156" s="20" t="s">
        <v>612</v>
      </c>
    </row>
    <row r="157" customFormat="false" ht="15" hidden="false" customHeight="false" outlineLevel="0" collapsed="false">
      <c r="A157" s="20" t="s">
        <v>613</v>
      </c>
      <c r="B157" s="20" t="s">
        <v>597</v>
      </c>
      <c r="C157" s="20" t="s">
        <v>598</v>
      </c>
      <c r="D157" s="20" t="s">
        <v>599</v>
      </c>
      <c r="E157" s="20" t="s">
        <v>271</v>
      </c>
      <c r="F157" s="20" t="s">
        <v>169</v>
      </c>
      <c r="G157" s="20" t="n">
        <v>1</v>
      </c>
      <c r="H157" s="21"/>
      <c r="I157" s="21"/>
      <c r="J157" s="22"/>
      <c r="K157" s="21"/>
      <c r="L157" s="20"/>
      <c r="M157" s="20"/>
      <c r="N157" s="23"/>
      <c r="O157" s="23"/>
      <c r="P157" s="21"/>
      <c r="Q157" s="22"/>
      <c r="R157" s="22" t="n">
        <v>0.0854471046978484</v>
      </c>
      <c r="S157" s="24"/>
      <c r="T157" s="20" t="s">
        <v>85</v>
      </c>
      <c r="U157" s="20"/>
      <c r="V157" s="20" t="s">
        <v>614</v>
      </c>
    </row>
    <row r="158" customFormat="false" ht="15" hidden="false" customHeight="false" outlineLevel="0" collapsed="false">
      <c r="A158" s="20" t="s">
        <v>615</v>
      </c>
      <c r="B158" s="20" t="s">
        <v>597</v>
      </c>
      <c r="C158" s="20" t="s">
        <v>598</v>
      </c>
      <c r="D158" s="20" t="s">
        <v>599</v>
      </c>
      <c r="E158" s="20" t="s">
        <v>271</v>
      </c>
      <c r="F158" s="20" t="s">
        <v>169</v>
      </c>
      <c r="G158" s="20" t="n">
        <v>1</v>
      </c>
      <c r="H158" s="21"/>
      <c r="I158" s="21"/>
      <c r="J158" s="22"/>
      <c r="K158" s="21"/>
      <c r="L158" s="20"/>
      <c r="M158" s="20"/>
      <c r="N158" s="23"/>
      <c r="O158" s="23"/>
      <c r="P158" s="21"/>
      <c r="Q158" s="22"/>
      <c r="R158" s="22" t="n">
        <v>0.0854471046978474</v>
      </c>
      <c r="S158" s="24"/>
      <c r="T158" s="20" t="s">
        <v>85</v>
      </c>
      <c r="U158" s="20"/>
      <c r="V158" s="20" t="s">
        <v>616</v>
      </c>
    </row>
    <row r="159" customFormat="false" ht="15" hidden="false" customHeight="false" outlineLevel="0" collapsed="false">
      <c r="A159" s="20" t="s">
        <v>617</v>
      </c>
      <c r="B159" s="20" t="s">
        <v>597</v>
      </c>
      <c r="C159" s="20" t="s">
        <v>598</v>
      </c>
      <c r="D159" s="20" t="s">
        <v>599</v>
      </c>
      <c r="E159" s="20" t="s">
        <v>271</v>
      </c>
      <c r="F159" s="20" t="s">
        <v>169</v>
      </c>
      <c r="G159" s="20" t="n">
        <v>1</v>
      </c>
      <c r="H159" s="21"/>
      <c r="I159" s="21"/>
      <c r="J159" s="22"/>
      <c r="K159" s="21"/>
      <c r="L159" s="20"/>
      <c r="M159" s="20"/>
      <c r="N159" s="23"/>
      <c r="O159" s="23"/>
      <c r="P159" s="21"/>
      <c r="Q159" s="22"/>
      <c r="R159" s="22" t="n">
        <v>0.0854471046978497</v>
      </c>
      <c r="S159" s="24"/>
      <c r="T159" s="20" t="s">
        <v>85</v>
      </c>
      <c r="U159" s="20"/>
      <c r="V159" s="20" t="s">
        <v>618</v>
      </c>
    </row>
    <row r="160" customFormat="false" ht="15" hidden="false" customHeight="false" outlineLevel="0" collapsed="false">
      <c r="A160" s="20" t="s">
        <v>619</v>
      </c>
      <c r="B160" s="20" t="s">
        <v>597</v>
      </c>
      <c r="C160" s="20" t="s">
        <v>598</v>
      </c>
      <c r="D160" s="20" t="s">
        <v>599</v>
      </c>
      <c r="E160" s="20" t="s">
        <v>271</v>
      </c>
      <c r="F160" s="20" t="s">
        <v>169</v>
      </c>
      <c r="G160" s="20" t="n">
        <v>1</v>
      </c>
      <c r="H160" s="21"/>
      <c r="I160" s="21"/>
      <c r="J160" s="22"/>
      <c r="K160" s="21"/>
      <c r="L160" s="20"/>
      <c r="M160" s="20"/>
      <c r="N160" s="23"/>
      <c r="O160" s="23"/>
      <c r="P160" s="21"/>
      <c r="Q160" s="22"/>
      <c r="R160" s="22" t="n">
        <v>0.0854471046978476</v>
      </c>
      <c r="S160" s="24"/>
      <c r="T160" s="20" t="s">
        <v>85</v>
      </c>
      <c r="U160" s="20"/>
      <c r="V160" s="20" t="s">
        <v>620</v>
      </c>
    </row>
    <row r="161" customFormat="false" ht="15" hidden="false" customHeight="false" outlineLevel="0" collapsed="false">
      <c r="A161" s="20" t="s">
        <v>621</v>
      </c>
      <c r="B161" s="20" t="s">
        <v>597</v>
      </c>
      <c r="C161" s="20" t="s">
        <v>598</v>
      </c>
      <c r="D161" s="20" t="s">
        <v>599</v>
      </c>
      <c r="E161" s="20" t="s">
        <v>271</v>
      </c>
      <c r="F161" s="20" t="s">
        <v>169</v>
      </c>
      <c r="G161" s="20" t="n">
        <v>1</v>
      </c>
      <c r="H161" s="21"/>
      <c r="I161" s="21"/>
      <c r="J161" s="22"/>
      <c r="K161" s="21"/>
      <c r="L161" s="20"/>
      <c r="M161" s="20"/>
      <c r="N161" s="23"/>
      <c r="O161" s="23"/>
      <c r="P161" s="21"/>
      <c r="Q161" s="22"/>
      <c r="R161" s="22" t="n">
        <v>0.0854471046978479</v>
      </c>
      <c r="S161" s="24"/>
      <c r="T161" s="20" t="s">
        <v>85</v>
      </c>
      <c r="U161" s="20"/>
      <c r="V161" s="20" t="s">
        <v>622</v>
      </c>
    </row>
    <row r="162" customFormat="false" ht="15" hidden="false" customHeight="false" outlineLevel="0" collapsed="false">
      <c r="A162" s="20" t="s">
        <v>623</v>
      </c>
      <c r="B162" s="20" t="s">
        <v>597</v>
      </c>
      <c r="C162" s="20" t="s">
        <v>598</v>
      </c>
      <c r="D162" s="20" t="s">
        <v>599</v>
      </c>
      <c r="E162" s="20" t="s">
        <v>271</v>
      </c>
      <c r="F162" s="20" t="s">
        <v>169</v>
      </c>
      <c r="G162" s="20" t="n">
        <v>1</v>
      </c>
      <c r="H162" s="21"/>
      <c r="I162" s="21"/>
      <c r="J162" s="22"/>
      <c r="K162" s="21"/>
      <c r="L162" s="20"/>
      <c r="M162" s="20"/>
      <c r="N162" s="23"/>
      <c r="O162" s="23"/>
      <c r="P162" s="21"/>
      <c r="Q162" s="22"/>
      <c r="R162" s="22" t="n">
        <v>0.085447104697848</v>
      </c>
      <c r="S162" s="24"/>
      <c r="T162" s="20" t="s">
        <v>85</v>
      </c>
      <c r="U162" s="20"/>
      <c r="V162" s="20" t="s">
        <v>624</v>
      </c>
    </row>
    <row r="163" customFormat="false" ht="15" hidden="false" customHeight="false" outlineLevel="0" collapsed="false">
      <c r="A163" s="20" t="s">
        <v>625</v>
      </c>
      <c r="B163" s="20" t="s">
        <v>597</v>
      </c>
      <c r="C163" s="20" t="s">
        <v>598</v>
      </c>
      <c r="D163" s="20" t="s">
        <v>599</v>
      </c>
      <c r="E163" s="20" t="s">
        <v>271</v>
      </c>
      <c r="F163" s="20" t="s">
        <v>169</v>
      </c>
      <c r="G163" s="20" t="n">
        <v>1</v>
      </c>
      <c r="H163" s="21"/>
      <c r="I163" s="21"/>
      <c r="J163" s="22"/>
      <c r="K163" s="21"/>
      <c r="L163" s="20"/>
      <c r="M163" s="20"/>
      <c r="N163" s="23"/>
      <c r="O163" s="23"/>
      <c r="P163" s="21"/>
      <c r="Q163" s="22"/>
      <c r="R163" s="22" t="n">
        <v>0.0854471046978482</v>
      </c>
      <c r="S163" s="24"/>
      <c r="T163" s="20" t="s">
        <v>85</v>
      </c>
      <c r="U163" s="20"/>
      <c r="V163" s="20" t="s">
        <v>626</v>
      </c>
    </row>
    <row r="164" customFormat="false" ht="15" hidden="false" customHeight="false" outlineLevel="0" collapsed="false">
      <c r="A164" s="20" t="s">
        <v>627</v>
      </c>
      <c r="B164" s="20" t="s">
        <v>597</v>
      </c>
      <c r="C164" s="20" t="s">
        <v>598</v>
      </c>
      <c r="D164" s="20" t="s">
        <v>599</v>
      </c>
      <c r="E164" s="20" t="s">
        <v>271</v>
      </c>
      <c r="F164" s="20" t="s">
        <v>169</v>
      </c>
      <c r="G164" s="20" t="n">
        <v>1</v>
      </c>
      <c r="H164" s="21"/>
      <c r="I164" s="21"/>
      <c r="J164" s="22"/>
      <c r="K164" s="21"/>
      <c r="L164" s="20"/>
      <c r="M164" s="20"/>
      <c r="N164" s="23"/>
      <c r="O164" s="23"/>
      <c r="P164" s="21"/>
      <c r="Q164" s="22"/>
      <c r="R164" s="22" t="n">
        <v>0.0854471046978484</v>
      </c>
      <c r="S164" s="24"/>
      <c r="T164" s="20" t="s">
        <v>85</v>
      </c>
      <c r="U164" s="20"/>
      <c r="V164" s="20" t="s">
        <v>628</v>
      </c>
    </row>
    <row r="165" customFormat="false" ht="15" hidden="false" customHeight="false" outlineLevel="0" collapsed="false">
      <c r="A165" s="20" t="s">
        <v>629</v>
      </c>
      <c r="B165" s="20" t="s">
        <v>597</v>
      </c>
      <c r="C165" s="20" t="s">
        <v>598</v>
      </c>
      <c r="D165" s="20" t="s">
        <v>599</v>
      </c>
      <c r="E165" s="20" t="s">
        <v>271</v>
      </c>
      <c r="F165" s="20" t="s">
        <v>169</v>
      </c>
      <c r="G165" s="20" t="n">
        <v>1</v>
      </c>
      <c r="H165" s="21"/>
      <c r="I165" s="21"/>
      <c r="J165" s="22"/>
      <c r="K165" s="21"/>
      <c r="L165" s="20"/>
      <c r="M165" s="20"/>
      <c r="N165" s="23"/>
      <c r="O165" s="23"/>
      <c r="P165" s="21"/>
      <c r="Q165" s="22"/>
      <c r="R165" s="22" t="n">
        <v>0.0854471046978477</v>
      </c>
      <c r="S165" s="24"/>
      <c r="T165" s="20" t="s">
        <v>85</v>
      </c>
      <c r="U165" s="20"/>
      <c r="V165" s="20" t="s">
        <v>630</v>
      </c>
    </row>
    <row r="166" customFormat="false" ht="15" hidden="false" customHeight="false" outlineLevel="0" collapsed="false">
      <c r="A166" s="20" t="s">
        <v>631</v>
      </c>
      <c r="B166" s="20" t="s">
        <v>597</v>
      </c>
      <c r="C166" s="20" t="s">
        <v>632</v>
      </c>
      <c r="D166" s="20" t="s">
        <v>633</v>
      </c>
      <c r="E166" s="20" t="s">
        <v>271</v>
      </c>
      <c r="F166" s="20" t="s">
        <v>171</v>
      </c>
      <c r="G166" s="20" t="n">
        <v>1</v>
      </c>
      <c r="H166" s="21"/>
      <c r="I166" s="21"/>
      <c r="J166" s="22"/>
      <c r="K166" s="21"/>
      <c r="L166" s="20"/>
      <c r="M166" s="20"/>
      <c r="N166" s="23"/>
      <c r="O166" s="23"/>
      <c r="P166" s="21"/>
      <c r="Q166" s="22"/>
      <c r="R166" s="22" t="n">
        <v>0.00758870882644427</v>
      </c>
      <c r="S166" s="24"/>
      <c r="T166" s="20" t="s">
        <v>85</v>
      </c>
      <c r="U166" s="20"/>
      <c r="V166" s="20" t="s">
        <v>634</v>
      </c>
    </row>
    <row r="167" customFormat="false" ht="15" hidden="false" customHeight="false" outlineLevel="0" collapsed="false">
      <c r="A167" s="20" t="s">
        <v>635</v>
      </c>
      <c r="B167" s="20" t="s">
        <v>597</v>
      </c>
      <c r="C167" s="20" t="s">
        <v>632</v>
      </c>
      <c r="D167" s="20" t="s">
        <v>633</v>
      </c>
      <c r="E167" s="20" t="s">
        <v>271</v>
      </c>
      <c r="F167" s="20" t="s">
        <v>171</v>
      </c>
      <c r="G167" s="20" t="n">
        <v>1</v>
      </c>
      <c r="H167" s="21"/>
      <c r="I167" s="21"/>
      <c r="J167" s="22"/>
      <c r="K167" s="21"/>
      <c r="L167" s="20"/>
      <c r="M167" s="20"/>
      <c r="N167" s="23"/>
      <c r="O167" s="23"/>
      <c r="P167" s="21"/>
      <c r="Q167" s="22"/>
      <c r="R167" s="22" t="n">
        <v>0.00758870875169782</v>
      </c>
      <c r="S167" s="24"/>
      <c r="T167" s="20" t="s">
        <v>85</v>
      </c>
      <c r="U167" s="20"/>
      <c r="V167" s="20" t="s">
        <v>636</v>
      </c>
    </row>
    <row r="168" customFormat="false" ht="15" hidden="false" customHeight="false" outlineLevel="0" collapsed="false">
      <c r="A168" s="20" t="s">
        <v>637</v>
      </c>
      <c r="B168" s="20" t="s">
        <v>597</v>
      </c>
      <c r="C168" s="20" t="s">
        <v>632</v>
      </c>
      <c r="D168" s="20" t="s">
        <v>633</v>
      </c>
      <c r="E168" s="20" t="s">
        <v>271</v>
      </c>
      <c r="F168" s="20" t="s">
        <v>171</v>
      </c>
      <c r="G168" s="20" t="n">
        <v>1</v>
      </c>
      <c r="H168" s="21"/>
      <c r="I168" s="21"/>
      <c r="J168" s="22"/>
      <c r="K168" s="21"/>
      <c r="L168" s="20"/>
      <c r="M168" s="20"/>
      <c r="N168" s="23"/>
      <c r="O168" s="23"/>
      <c r="P168" s="21"/>
      <c r="Q168" s="22"/>
      <c r="R168" s="22" t="n">
        <v>0.0075887087516976</v>
      </c>
      <c r="S168" s="24"/>
      <c r="T168" s="20" t="s">
        <v>85</v>
      </c>
      <c r="U168" s="20"/>
      <c r="V168" s="20" t="s">
        <v>638</v>
      </c>
    </row>
    <row r="169" customFormat="false" ht="15" hidden="false" customHeight="false" outlineLevel="0" collapsed="false">
      <c r="A169" s="20" t="s">
        <v>639</v>
      </c>
      <c r="B169" s="20" t="s">
        <v>597</v>
      </c>
      <c r="C169" s="20" t="s">
        <v>632</v>
      </c>
      <c r="D169" s="20" t="s">
        <v>633</v>
      </c>
      <c r="E169" s="20" t="s">
        <v>271</v>
      </c>
      <c r="F169" s="20" t="s">
        <v>171</v>
      </c>
      <c r="G169" s="20" t="n">
        <v>1</v>
      </c>
      <c r="H169" s="21"/>
      <c r="I169" s="21"/>
      <c r="J169" s="22"/>
      <c r="K169" s="21"/>
      <c r="L169" s="20"/>
      <c r="M169" s="20"/>
      <c r="N169" s="23"/>
      <c r="O169" s="23"/>
      <c r="P169" s="21"/>
      <c r="Q169" s="22"/>
      <c r="R169" s="22" t="n">
        <v>0.00758870882644427</v>
      </c>
      <c r="S169" s="24"/>
      <c r="T169" s="20" t="s">
        <v>85</v>
      </c>
      <c r="U169" s="20"/>
      <c r="V169" s="20" t="s">
        <v>640</v>
      </c>
    </row>
    <row r="170" customFormat="false" ht="15" hidden="false" customHeight="false" outlineLevel="0" collapsed="false">
      <c r="A170" s="20" t="s">
        <v>641</v>
      </c>
      <c r="B170" s="20" t="s">
        <v>597</v>
      </c>
      <c r="C170" s="20" t="s">
        <v>632</v>
      </c>
      <c r="D170" s="20" t="s">
        <v>633</v>
      </c>
      <c r="E170" s="20" t="s">
        <v>271</v>
      </c>
      <c r="F170" s="20" t="s">
        <v>171</v>
      </c>
      <c r="G170" s="20" t="n">
        <v>1</v>
      </c>
      <c r="H170" s="21"/>
      <c r="I170" s="21"/>
      <c r="J170" s="22"/>
      <c r="K170" s="21"/>
      <c r="L170" s="20"/>
      <c r="M170" s="20"/>
      <c r="N170" s="23"/>
      <c r="O170" s="23"/>
      <c r="P170" s="21"/>
      <c r="Q170" s="22"/>
      <c r="R170" s="22" t="n">
        <v>0.00758870875169753</v>
      </c>
      <c r="S170" s="24"/>
      <c r="T170" s="20" t="s">
        <v>85</v>
      </c>
      <c r="U170" s="20"/>
      <c r="V170" s="20" t="s">
        <v>642</v>
      </c>
    </row>
    <row r="171" customFormat="false" ht="15" hidden="false" customHeight="false" outlineLevel="0" collapsed="false">
      <c r="A171" s="20" t="s">
        <v>643</v>
      </c>
      <c r="B171" s="20" t="s">
        <v>597</v>
      </c>
      <c r="C171" s="20" t="s">
        <v>632</v>
      </c>
      <c r="D171" s="20" t="s">
        <v>633</v>
      </c>
      <c r="E171" s="20" t="s">
        <v>271</v>
      </c>
      <c r="F171" s="20" t="s">
        <v>171</v>
      </c>
      <c r="G171" s="20" t="n">
        <v>1</v>
      </c>
      <c r="H171" s="21"/>
      <c r="I171" s="21"/>
      <c r="J171" s="22"/>
      <c r="K171" s="21"/>
      <c r="L171" s="20"/>
      <c r="M171" s="20"/>
      <c r="N171" s="23"/>
      <c r="O171" s="23"/>
      <c r="P171" s="21"/>
      <c r="Q171" s="22"/>
      <c r="R171" s="22" t="n">
        <v>0.00758870875169782</v>
      </c>
      <c r="S171" s="24"/>
      <c r="T171" s="20" t="s">
        <v>85</v>
      </c>
      <c r="U171" s="20"/>
      <c r="V171" s="20" t="s">
        <v>644</v>
      </c>
    </row>
    <row r="172" customFormat="false" ht="15" hidden="false" customHeight="false" outlineLevel="0" collapsed="false">
      <c r="A172" s="20" t="s">
        <v>645</v>
      </c>
      <c r="B172" s="20" t="s">
        <v>597</v>
      </c>
      <c r="C172" s="20" t="s">
        <v>632</v>
      </c>
      <c r="D172" s="20" t="s">
        <v>599</v>
      </c>
      <c r="E172" s="20" t="s">
        <v>271</v>
      </c>
      <c r="F172" s="20" t="s">
        <v>171</v>
      </c>
      <c r="G172" s="20" t="n">
        <v>1</v>
      </c>
      <c r="H172" s="21"/>
      <c r="I172" s="21"/>
      <c r="J172" s="22"/>
      <c r="K172" s="21"/>
      <c r="L172" s="20"/>
      <c r="M172" s="20"/>
      <c r="N172" s="23"/>
      <c r="O172" s="23"/>
      <c r="P172" s="21"/>
      <c r="Q172" s="22"/>
      <c r="R172" s="22" t="n">
        <v>0.00758870875169782</v>
      </c>
      <c r="S172" s="24"/>
      <c r="T172" s="20" t="s">
        <v>85</v>
      </c>
      <c r="U172" s="20"/>
      <c r="V172" s="20" t="s">
        <v>646</v>
      </c>
    </row>
    <row r="173" customFormat="false" ht="15" hidden="false" customHeight="false" outlineLevel="0" collapsed="false">
      <c r="A173" s="20" t="s">
        <v>647</v>
      </c>
      <c r="B173" s="20" t="s">
        <v>597</v>
      </c>
      <c r="C173" s="20" t="s">
        <v>632</v>
      </c>
      <c r="D173" s="20" t="s">
        <v>599</v>
      </c>
      <c r="E173" s="20" t="s">
        <v>271</v>
      </c>
      <c r="F173" s="20" t="s">
        <v>171</v>
      </c>
      <c r="G173" s="20" t="n">
        <v>1</v>
      </c>
      <c r="H173" s="21"/>
      <c r="I173" s="21"/>
      <c r="J173" s="22"/>
      <c r="K173" s="21"/>
      <c r="L173" s="20"/>
      <c r="M173" s="20"/>
      <c r="N173" s="23"/>
      <c r="O173" s="23"/>
      <c r="P173" s="21"/>
      <c r="Q173" s="22"/>
      <c r="R173" s="22" t="n">
        <v>0.00758870875169708</v>
      </c>
      <c r="S173" s="24"/>
      <c r="T173" s="20" t="s">
        <v>85</v>
      </c>
      <c r="U173" s="20"/>
      <c r="V173" s="20" t="s">
        <v>648</v>
      </c>
    </row>
    <row r="174" customFormat="false" ht="15" hidden="false" customHeight="false" outlineLevel="0" collapsed="false">
      <c r="A174" s="20" t="s">
        <v>649</v>
      </c>
      <c r="B174" s="20" t="s">
        <v>597</v>
      </c>
      <c r="C174" s="20" t="s">
        <v>650</v>
      </c>
      <c r="D174" s="20" t="s">
        <v>651</v>
      </c>
      <c r="E174" s="20" t="s">
        <v>291</v>
      </c>
      <c r="F174" s="20" t="s">
        <v>174</v>
      </c>
      <c r="G174" s="20" t="n">
        <v>1</v>
      </c>
      <c r="H174" s="21"/>
      <c r="I174" s="21"/>
      <c r="J174" s="22"/>
      <c r="K174" s="21"/>
      <c r="L174" s="20"/>
      <c r="M174" s="20"/>
      <c r="N174" s="23"/>
      <c r="O174" s="23"/>
      <c r="P174" s="21"/>
      <c r="Q174" s="22"/>
      <c r="R174" s="22" t="n">
        <v>0.152899290899559</v>
      </c>
      <c r="S174" s="24"/>
      <c r="T174" s="20" t="s">
        <v>85</v>
      </c>
      <c r="U174" s="20"/>
      <c r="V174" s="20" t="s">
        <v>652</v>
      </c>
    </row>
    <row r="175" customFormat="false" ht="15" hidden="false" customHeight="false" outlineLevel="0" collapsed="false">
      <c r="A175" s="20" t="s">
        <v>653</v>
      </c>
      <c r="B175" s="20" t="s">
        <v>597</v>
      </c>
      <c r="C175" s="20" t="s">
        <v>650</v>
      </c>
      <c r="D175" s="20" t="s">
        <v>651</v>
      </c>
      <c r="E175" s="20" t="s">
        <v>291</v>
      </c>
      <c r="F175" s="20" t="s">
        <v>174</v>
      </c>
      <c r="G175" s="20" t="n">
        <v>1</v>
      </c>
      <c r="H175" s="21"/>
      <c r="I175" s="21"/>
      <c r="J175" s="22"/>
      <c r="K175" s="21"/>
      <c r="L175" s="20"/>
      <c r="M175" s="20"/>
      <c r="N175" s="23"/>
      <c r="O175" s="23"/>
      <c r="P175" s="21"/>
      <c r="Q175" s="22"/>
      <c r="R175" s="22" t="n">
        <v>0.152899290899563</v>
      </c>
      <c r="S175" s="24"/>
      <c r="T175" s="20" t="s">
        <v>85</v>
      </c>
      <c r="U175" s="20"/>
      <c r="V175" s="20" t="s">
        <v>654</v>
      </c>
    </row>
    <row r="176" customFormat="false" ht="15" hidden="false" customHeight="false" outlineLevel="0" collapsed="false">
      <c r="A176" s="20" t="s">
        <v>655</v>
      </c>
      <c r="B176" s="20" t="s">
        <v>597</v>
      </c>
      <c r="C176" s="20" t="s">
        <v>650</v>
      </c>
      <c r="D176" s="20" t="s">
        <v>651</v>
      </c>
      <c r="E176" s="20" t="s">
        <v>291</v>
      </c>
      <c r="F176" s="20" t="s">
        <v>174</v>
      </c>
      <c r="G176" s="20" t="n">
        <v>1</v>
      </c>
      <c r="H176" s="21"/>
      <c r="I176" s="21"/>
      <c r="J176" s="22"/>
      <c r="K176" s="21"/>
      <c r="L176" s="20"/>
      <c r="M176" s="20"/>
      <c r="N176" s="23"/>
      <c r="O176" s="23"/>
      <c r="P176" s="21"/>
      <c r="Q176" s="22"/>
      <c r="R176" s="22" t="n">
        <v>0.152899290899559</v>
      </c>
      <c r="S176" s="24"/>
      <c r="T176" s="20" t="s">
        <v>85</v>
      </c>
      <c r="U176" s="20"/>
      <c r="V176" s="20" t="s">
        <v>656</v>
      </c>
    </row>
    <row r="177" customFormat="false" ht="15" hidden="false" customHeight="false" outlineLevel="0" collapsed="false">
      <c r="A177" s="20" t="s">
        <v>657</v>
      </c>
      <c r="B177" s="20" t="s">
        <v>597</v>
      </c>
      <c r="C177" s="20" t="s">
        <v>650</v>
      </c>
      <c r="D177" s="20" t="s">
        <v>651</v>
      </c>
      <c r="E177" s="20" t="s">
        <v>291</v>
      </c>
      <c r="F177" s="20" t="s">
        <v>174</v>
      </c>
      <c r="G177" s="20" t="n">
        <v>1</v>
      </c>
      <c r="H177" s="21"/>
      <c r="I177" s="21"/>
      <c r="J177" s="22"/>
      <c r="K177" s="21"/>
      <c r="L177" s="20"/>
      <c r="M177" s="20"/>
      <c r="N177" s="23"/>
      <c r="O177" s="23"/>
      <c r="P177" s="21"/>
      <c r="Q177" s="22"/>
      <c r="R177" s="22" t="n">
        <v>0.152899290899563</v>
      </c>
      <c r="S177" s="24"/>
      <c r="T177" s="20" t="s">
        <v>85</v>
      </c>
      <c r="U177" s="20"/>
      <c r="V177" s="20" t="s">
        <v>658</v>
      </c>
    </row>
    <row r="178" customFormat="false" ht="15" hidden="false" customHeight="false" outlineLevel="0" collapsed="false">
      <c r="A178" s="20" t="s">
        <v>659</v>
      </c>
      <c r="B178" s="20" t="s">
        <v>597</v>
      </c>
      <c r="C178" s="20" t="s">
        <v>650</v>
      </c>
      <c r="D178" s="20" t="s">
        <v>651</v>
      </c>
      <c r="E178" s="20" t="s">
        <v>291</v>
      </c>
      <c r="F178" s="20" t="s">
        <v>174</v>
      </c>
      <c r="G178" s="20" t="n">
        <v>1</v>
      </c>
      <c r="H178" s="21"/>
      <c r="I178" s="21"/>
      <c r="J178" s="22"/>
      <c r="K178" s="21"/>
      <c r="L178" s="20"/>
      <c r="M178" s="20"/>
      <c r="N178" s="23"/>
      <c r="O178" s="23"/>
      <c r="P178" s="21"/>
      <c r="Q178" s="22"/>
      <c r="R178" s="22" t="n">
        <v>0.152899290899558</v>
      </c>
      <c r="S178" s="24"/>
      <c r="T178" s="20" t="s">
        <v>85</v>
      </c>
      <c r="U178" s="20"/>
      <c r="V178" s="20" t="s">
        <v>660</v>
      </c>
    </row>
    <row r="179" customFormat="false" ht="15" hidden="false" customHeight="false" outlineLevel="0" collapsed="false">
      <c r="A179" s="20" t="s">
        <v>661</v>
      </c>
      <c r="B179" s="20" t="s">
        <v>597</v>
      </c>
      <c r="C179" s="20" t="s">
        <v>650</v>
      </c>
      <c r="D179" s="20" t="s">
        <v>651</v>
      </c>
      <c r="E179" s="20" t="s">
        <v>291</v>
      </c>
      <c r="F179" s="20" t="s">
        <v>174</v>
      </c>
      <c r="G179" s="20" t="n">
        <v>1</v>
      </c>
      <c r="H179" s="21"/>
      <c r="I179" s="21"/>
      <c r="J179" s="22"/>
      <c r="K179" s="21"/>
      <c r="L179" s="20"/>
      <c r="M179" s="20"/>
      <c r="N179" s="23"/>
      <c r="O179" s="23"/>
      <c r="P179" s="21"/>
      <c r="Q179" s="22"/>
      <c r="R179" s="22" t="n">
        <v>0.152899290899562</v>
      </c>
      <c r="S179" s="24"/>
      <c r="T179" s="20" t="s">
        <v>85</v>
      </c>
      <c r="U179" s="20"/>
      <c r="V179" s="20" t="s">
        <v>662</v>
      </c>
    </row>
    <row r="180" customFormat="false" ht="15" hidden="false" customHeight="false" outlineLevel="0" collapsed="false">
      <c r="A180" s="20" t="s">
        <v>663</v>
      </c>
      <c r="B180" s="20" t="s">
        <v>597</v>
      </c>
      <c r="C180" s="20" t="s">
        <v>650</v>
      </c>
      <c r="D180" s="20" t="s">
        <v>651</v>
      </c>
      <c r="E180" s="20" t="s">
        <v>291</v>
      </c>
      <c r="F180" s="20" t="s">
        <v>174</v>
      </c>
      <c r="G180" s="20" t="n">
        <v>1</v>
      </c>
      <c r="H180" s="21"/>
      <c r="I180" s="21"/>
      <c r="J180" s="22"/>
      <c r="K180" s="21"/>
      <c r="L180" s="20"/>
      <c r="M180" s="20"/>
      <c r="N180" s="23"/>
      <c r="O180" s="23"/>
      <c r="P180" s="21"/>
      <c r="Q180" s="22"/>
      <c r="R180" s="22" t="n">
        <v>0.152899290899561</v>
      </c>
      <c r="S180" s="24"/>
      <c r="T180" s="20" t="s">
        <v>85</v>
      </c>
      <c r="U180" s="20"/>
      <c r="V180" s="20" t="s">
        <v>664</v>
      </c>
    </row>
    <row r="181" customFormat="false" ht="15" hidden="false" customHeight="false" outlineLevel="0" collapsed="false">
      <c r="A181" s="20" t="s">
        <v>665</v>
      </c>
      <c r="B181" s="20" t="s">
        <v>597</v>
      </c>
      <c r="C181" s="20" t="s">
        <v>650</v>
      </c>
      <c r="D181" s="20" t="s">
        <v>651</v>
      </c>
      <c r="E181" s="20" t="s">
        <v>291</v>
      </c>
      <c r="F181" s="20" t="s">
        <v>174</v>
      </c>
      <c r="G181" s="20" t="n">
        <v>1</v>
      </c>
      <c r="H181" s="21"/>
      <c r="I181" s="21"/>
      <c r="J181" s="22"/>
      <c r="K181" s="21"/>
      <c r="L181" s="20"/>
      <c r="M181" s="20"/>
      <c r="N181" s="23"/>
      <c r="O181" s="23"/>
      <c r="P181" s="21"/>
      <c r="Q181" s="22"/>
      <c r="R181" s="22" t="n">
        <v>0.152899290899561</v>
      </c>
      <c r="S181" s="24"/>
      <c r="T181" s="20" t="s">
        <v>85</v>
      </c>
      <c r="U181" s="20"/>
      <c r="V181" s="20" t="s">
        <v>666</v>
      </c>
    </row>
    <row r="182" customFormat="false" ht="15" hidden="false" customHeight="false" outlineLevel="0" collapsed="false">
      <c r="A182" s="20" t="s">
        <v>667</v>
      </c>
      <c r="B182" s="20" t="s">
        <v>597</v>
      </c>
      <c r="C182" s="20" t="s">
        <v>668</v>
      </c>
      <c r="D182" s="20" t="s">
        <v>669</v>
      </c>
      <c r="E182" s="20" t="s">
        <v>271</v>
      </c>
      <c r="F182" s="20" t="s">
        <v>176</v>
      </c>
      <c r="G182" s="20" t="n">
        <v>1</v>
      </c>
      <c r="H182" s="21" t="n">
        <v>3</v>
      </c>
      <c r="I182" s="21"/>
      <c r="J182" s="22"/>
      <c r="K182" s="21"/>
      <c r="L182" s="20"/>
      <c r="M182" s="20"/>
      <c r="N182" s="23"/>
      <c r="O182" s="23"/>
      <c r="P182" s="21"/>
      <c r="Q182" s="22"/>
      <c r="R182" s="22" t="n">
        <v>0.0808064400000358</v>
      </c>
      <c r="S182" s="24"/>
      <c r="T182" s="20" t="s">
        <v>85</v>
      </c>
      <c r="U182" s="20"/>
      <c r="V182" s="20" t="s">
        <v>670</v>
      </c>
    </row>
    <row r="183" customFormat="false" ht="15" hidden="false" customHeight="false" outlineLevel="0" collapsed="false">
      <c r="A183" s="20" t="s">
        <v>671</v>
      </c>
      <c r="B183" s="20" t="s">
        <v>597</v>
      </c>
      <c r="C183" s="20" t="s">
        <v>668</v>
      </c>
      <c r="D183" s="20" t="s">
        <v>669</v>
      </c>
      <c r="E183" s="20" t="s">
        <v>271</v>
      </c>
      <c r="F183" s="20" t="s">
        <v>176</v>
      </c>
      <c r="G183" s="20" t="n">
        <v>1</v>
      </c>
      <c r="H183" s="21" t="n">
        <v>3</v>
      </c>
      <c r="I183" s="21"/>
      <c r="J183" s="22"/>
      <c r="K183" s="21"/>
      <c r="L183" s="20"/>
      <c r="M183" s="20"/>
      <c r="N183" s="23"/>
      <c r="O183" s="23"/>
      <c r="P183" s="21"/>
      <c r="Q183" s="22"/>
      <c r="R183" s="22" t="n">
        <v>0.0743433212031521</v>
      </c>
      <c r="S183" s="24"/>
      <c r="T183" s="20" t="s">
        <v>85</v>
      </c>
      <c r="U183" s="20"/>
      <c r="V183" s="20" t="s">
        <v>672</v>
      </c>
    </row>
    <row r="184" customFormat="false" ht="15" hidden="false" customHeight="false" outlineLevel="0" collapsed="false">
      <c r="A184" s="20" t="s">
        <v>673</v>
      </c>
      <c r="B184" s="20" t="s">
        <v>597</v>
      </c>
      <c r="C184" s="20" t="s">
        <v>674</v>
      </c>
      <c r="D184" s="20" t="s">
        <v>669</v>
      </c>
      <c r="E184" s="20" t="s">
        <v>271</v>
      </c>
      <c r="F184" s="20" t="s">
        <v>179</v>
      </c>
      <c r="G184" s="20" t="n">
        <v>1</v>
      </c>
      <c r="H184" s="21" t="n">
        <v>1</v>
      </c>
      <c r="I184" s="21"/>
      <c r="J184" s="22"/>
      <c r="K184" s="21"/>
      <c r="L184" s="20"/>
      <c r="M184" s="20"/>
      <c r="N184" s="23"/>
      <c r="O184" s="23"/>
      <c r="P184" s="21"/>
      <c r="Q184" s="22"/>
      <c r="R184" s="22" t="n">
        <v>0.0269354800000072</v>
      </c>
      <c r="S184" s="24"/>
      <c r="T184" s="20" t="s">
        <v>85</v>
      </c>
      <c r="U184" s="20"/>
      <c r="V184" s="20" t="s">
        <v>675</v>
      </c>
    </row>
    <row r="185" customFormat="false" ht="15" hidden="false" customHeight="false" outlineLevel="0" collapsed="false">
      <c r="A185" s="20" t="s">
        <v>676</v>
      </c>
      <c r="B185" s="20" t="s">
        <v>597</v>
      </c>
      <c r="C185" s="20" t="s">
        <v>674</v>
      </c>
      <c r="D185" s="20" t="s">
        <v>669</v>
      </c>
      <c r="E185" s="20" t="s">
        <v>271</v>
      </c>
      <c r="F185" s="20" t="s">
        <v>179</v>
      </c>
      <c r="G185" s="20" t="n">
        <v>1</v>
      </c>
      <c r="H185" s="21" t="n">
        <v>4.024</v>
      </c>
      <c r="I185" s="21"/>
      <c r="J185" s="22"/>
      <c r="K185" s="21"/>
      <c r="L185" s="20"/>
      <c r="M185" s="20"/>
      <c r="N185" s="23"/>
      <c r="O185" s="23"/>
      <c r="P185" s="21"/>
      <c r="Q185" s="22"/>
      <c r="R185" s="22" t="n">
        <v>0.108388371520029</v>
      </c>
      <c r="S185" s="24"/>
      <c r="T185" s="20" t="s">
        <v>85</v>
      </c>
      <c r="U185" s="20"/>
      <c r="V185" s="20" t="s">
        <v>677</v>
      </c>
    </row>
    <row r="186" customFormat="false" ht="15" hidden="false" customHeight="false" outlineLevel="0" collapsed="false">
      <c r="A186" s="20" t="s">
        <v>678</v>
      </c>
      <c r="B186" s="20" t="s">
        <v>597</v>
      </c>
      <c r="C186" s="20" t="s">
        <v>674</v>
      </c>
      <c r="D186" s="20" t="s">
        <v>669</v>
      </c>
      <c r="E186" s="20" t="s">
        <v>271</v>
      </c>
      <c r="F186" s="20" t="s">
        <v>179</v>
      </c>
      <c r="G186" s="20" t="n">
        <v>1</v>
      </c>
      <c r="H186" s="21" t="n">
        <v>1</v>
      </c>
      <c r="I186" s="21"/>
      <c r="J186" s="22"/>
      <c r="K186" s="21"/>
      <c r="L186" s="20"/>
      <c r="M186" s="20"/>
      <c r="N186" s="23"/>
      <c r="O186" s="23"/>
      <c r="P186" s="21"/>
      <c r="Q186" s="22"/>
      <c r="R186" s="22" t="n">
        <v>0.0269354800000072</v>
      </c>
      <c r="S186" s="24"/>
      <c r="T186" s="20" t="s">
        <v>85</v>
      </c>
      <c r="U186" s="20"/>
      <c r="V186" s="20" t="s">
        <v>679</v>
      </c>
    </row>
    <row r="187" customFormat="false" ht="15" hidden="false" customHeight="false" outlineLevel="0" collapsed="false">
      <c r="A187" s="20" t="s">
        <v>680</v>
      </c>
      <c r="B187" s="20" t="s">
        <v>597</v>
      </c>
      <c r="C187" s="20" t="s">
        <v>674</v>
      </c>
      <c r="D187" s="20" t="s">
        <v>669</v>
      </c>
      <c r="E187" s="20" t="s">
        <v>271</v>
      </c>
      <c r="F187" s="20" t="s">
        <v>179</v>
      </c>
      <c r="G187" s="20" t="n">
        <v>1</v>
      </c>
      <c r="H187" s="21" t="n">
        <v>4.024</v>
      </c>
      <c r="I187" s="21"/>
      <c r="J187" s="22"/>
      <c r="K187" s="21"/>
      <c r="L187" s="20"/>
      <c r="M187" s="20"/>
      <c r="N187" s="23"/>
      <c r="O187" s="23"/>
      <c r="P187" s="21"/>
      <c r="Q187" s="22"/>
      <c r="R187" s="22" t="n">
        <v>0.108388371520029</v>
      </c>
      <c r="S187" s="24"/>
      <c r="T187" s="20" t="s">
        <v>85</v>
      </c>
      <c r="U187" s="20"/>
      <c r="V187" s="20" t="s">
        <v>681</v>
      </c>
    </row>
    <row r="188" customFormat="false" ht="15" hidden="false" customHeight="false" outlineLevel="0" collapsed="false">
      <c r="A188" s="20" t="s">
        <v>682</v>
      </c>
      <c r="B188" s="20" t="s">
        <v>597</v>
      </c>
      <c r="C188" s="20" t="s">
        <v>683</v>
      </c>
      <c r="D188" s="20" t="s">
        <v>684</v>
      </c>
      <c r="E188" s="20" t="s">
        <v>271</v>
      </c>
      <c r="F188" s="20" t="s">
        <v>181</v>
      </c>
      <c r="G188" s="20" t="n">
        <v>1</v>
      </c>
      <c r="H188" s="21"/>
      <c r="I188" s="21"/>
      <c r="J188" s="22"/>
      <c r="K188" s="21"/>
      <c r="L188" s="20"/>
      <c r="M188" s="20"/>
      <c r="N188" s="23"/>
      <c r="O188" s="23"/>
      <c r="P188" s="21"/>
      <c r="Q188" s="22"/>
      <c r="R188" s="22" t="n">
        <v>0.035754918627773</v>
      </c>
      <c r="S188" s="24"/>
      <c r="T188" s="20" t="s">
        <v>85</v>
      </c>
      <c r="U188" s="20"/>
      <c r="V188" s="20" t="s">
        <v>685</v>
      </c>
    </row>
    <row r="189" customFormat="false" ht="15" hidden="false" customHeight="false" outlineLevel="0" collapsed="false">
      <c r="A189" s="20" t="s">
        <v>686</v>
      </c>
      <c r="B189" s="20" t="s">
        <v>597</v>
      </c>
      <c r="C189" s="20" t="s">
        <v>683</v>
      </c>
      <c r="D189" s="20" t="s">
        <v>687</v>
      </c>
      <c r="E189" s="20" t="s">
        <v>291</v>
      </c>
      <c r="F189" s="20" t="s">
        <v>183</v>
      </c>
      <c r="G189" s="20" t="n">
        <v>1</v>
      </c>
      <c r="H189" s="21"/>
      <c r="I189" s="21"/>
      <c r="J189" s="22"/>
      <c r="K189" s="21"/>
      <c r="L189" s="20"/>
      <c r="M189" s="20"/>
      <c r="N189" s="23"/>
      <c r="O189" s="23"/>
      <c r="P189" s="21"/>
      <c r="Q189" s="22"/>
      <c r="R189" s="22" t="n">
        <v>0.0462883406277848</v>
      </c>
      <c r="S189" s="24"/>
      <c r="T189" s="20" t="s">
        <v>85</v>
      </c>
      <c r="U189" s="20"/>
      <c r="V189" s="20" t="s">
        <v>688</v>
      </c>
    </row>
    <row r="190" customFormat="false" ht="15" hidden="false" customHeight="false" outlineLevel="0" collapsed="false">
      <c r="A190" s="20" t="s">
        <v>689</v>
      </c>
      <c r="B190" s="20" t="s">
        <v>597</v>
      </c>
      <c r="C190" s="20" t="s">
        <v>683</v>
      </c>
      <c r="D190" s="20" t="s">
        <v>687</v>
      </c>
      <c r="E190" s="20" t="s">
        <v>291</v>
      </c>
      <c r="F190" s="20" t="s">
        <v>183</v>
      </c>
      <c r="G190" s="20" t="n">
        <v>1</v>
      </c>
      <c r="H190" s="21"/>
      <c r="I190" s="21"/>
      <c r="J190" s="22"/>
      <c r="K190" s="21"/>
      <c r="L190" s="20"/>
      <c r="M190" s="20"/>
      <c r="N190" s="23"/>
      <c r="O190" s="23"/>
      <c r="P190" s="21"/>
      <c r="Q190" s="22"/>
      <c r="R190" s="22" t="n">
        <v>0.0462883406277857</v>
      </c>
      <c r="S190" s="24"/>
      <c r="T190" s="20" t="s">
        <v>85</v>
      </c>
      <c r="U190" s="20"/>
      <c r="V190" s="20" t="s">
        <v>690</v>
      </c>
    </row>
    <row r="191" customFormat="false" ht="15" hidden="false" customHeight="false" outlineLevel="0" collapsed="false">
      <c r="A191" s="20" t="s">
        <v>691</v>
      </c>
      <c r="B191" s="20" t="s">
        <v>597</v>
      </c>
      <c r="C191" s="20" t="s">
        <v>683</v>
      </c>
      <c r="D191" s="20" t="s">
        <v>687</v>
      </c>
      <c r="E191" s="20" t="s">
        <v>291</v>
      </c>
      <c r="F191" s="20" t="s">
        <v>183</v>
      </c>
      <c r="G191" s="20" t="n">
        <v>1</v>
      </c>
      <c r="H191" s="21"/>
      <c r="I191" s="21"/>
      <c r="J191" s="22"/>
      <c r="K191" s="21"/>
      <c r="L191" s="20"/>
      <c r="M191" s="20"/>
      <c r="N191" s="23"/>
      <c r="O191" s="23"/>
      <c r="P191" s="21"/>
      <c r="Q191" s="22"/>
      <c r="R191" s="22" t="n">
        <v>0.046288340627786</v>
      </c>
      <c r="S191" s="24"/>
      <c r="T191" s="20" t="s">
        <v>85</v>
      </c>
      <c r="U191" s="20"/>
      <c r="V191" s="20" t="s">
        <v>692</v>
      </c>
    </row>
    <row r="192" customFormat="false" ht="15" hidden="false" customHeight="false" outlineLevel="0" collapsed="false">
      <c r="A192" s="20" t="s">
        <v>693</v>
      </c>
      <c r="B192" s="20" t="s">
        <v>597</v>
      </c>
      <c r="C192" s="20" t="s">
        <v>683</v>
      </c>
      <c r="D192" s="20" t="s">
        <v>687</v>
      </c>
      <c r="E192" s="20" t="s">
        <v>291</v>
      </c>
      <c r="F192" s="20" t="s">
        <v>183</v>
      </c>
      <c r="G192" s="20" t="n">
        <v>1</v>
      </c>
      <c r="H192" s="21"/>
      <c r="I192" s="21"/>
      <c r="J192" s="22"/>
      <c r="K192" s="21"/>
      <c r="L192" s="20"/>
      <c r="M192" s="20"/>
      <c r="N192" s="23"/>
      <c r="O192" s="23"/>
      <c r="P192" s="21"/>
      <c r="Q192" s="22"/>
      <c r="R192" s="22" t="n">
        <v>0.0462883406277861</v>
      </c>
      <c r="S192" s="24"/>
      <c r="T192" s="20" t="s">
        <v>85</v>
      </c>
      <c r="U192" s="20"/>
      <c r="V192" s="20" t="s">
        <v>694</v>
      </c>
    </row>
    <row r="193" customFormat="false" ht="15" hidden="false" customHeight="false" outlineLevel="0" collapsed="false">
      <c r="A193" s="20" t="s">
        <v>695</v>
      </c>
      <c r="B193" s="20" t="s">
        <v>597</v>
      </c>
      <c r="C193" s="20" t="s">
        <v>696</v>
      </c>
      <c r="D193" s="20" t="s">
        <v>697</v>
      </c>
      <c r="E193" s="20" t="s">
        <v>291</v>
      </c>
      <c r="F193" s="20" t="s">
        <v>185</v>
      </c>
      <c r="G193" s="20" t="n">
        <v>1</v>
      </c>
      <c r="H193" s="21"/>
      <c r="I193" s="21"/>
      <c r="J193" s="22"/>
      <c r="K193" s="21"/>
      <c r="L193" s="20"/>
      <c r="M193" s="20"/>
      <c r="N193" s="23"/>
      <c r="O193" s="23"/>
      <c r="P193" s="21"/>
      <c r="Q193" s="22"/>
      <c r="R193" s="22" t="n">
        <v>1.27443578703526</v>
      </c>
      <c r="S193" s="24"/>
      <c r="T193" s="20" t="s">
        <v>85</v>
      </c>
      <c r="U193" s="20"/>
      <c r="V193" s="20" t="s">
        <v>698</v>
      </c>
    </row>
    <row r="194" customFormat="false" ht="15" hidden="false" customHeight="false" outlineLevel="0" collapsed="false">
      <c r="A194" s="20" t="s">
        <v>699</v>
      </c>
      <c r="B194" s="20" t="s">
        <v>597</v>
      </c>
      <c r="C194" s="20" t="s">
        <v>696</v>
      </c>
      <c r="D194" s="20" t="s">
        <v>697</v>
      </c>
      <c r="E194" s="20" t="s">
        <v>291</v>
      </c>
      <c r="F194" s="20" t="s">
        <v>185</v>
      </c>
      <c r="G194" s="20" t="n">
        <v>1</v>
      </c>
      <c r="H194" s="21"/>
      <c r="I194" s="21"/>
      <c r="J194" s="22"/>
      <c r="K194" s="21"/>
      <c r="L194" s="20"/>
      <c r="M194" s="20"/>
      <c r="N194" s="23"/>
      <c r="O194" s="23"/>
      <c r="P194" s="21"/>
      <c r="Q194" s="22"/>
      <c r="R194" s="22" t="n">
        <v>1.27443578734688</v>
      </c>
      <c r="S194" s="24"/>
      <c r="T194" s="20" t="s">
        <v>85</v>
      </c>
      <c r="U194" s="20"/>
      <c r="V194" s="20" t="s">
        <v>700</v>
      </c>
    </row>
    <row r="195" customFormat="false" ht="15" hidden="false" customHeight="false" outlineLevel="0" collapsed="false">
      <c r="A195" s="20" t="s">
        <v>701</v>
      </c>
      <c r="B195" s="20" t="s">
        <v>597</v>
      </c>
      <c r="C195" s="20" t="s">
        <v>696</v>
      </c>
      <c r="D195" s="20" t="s">
        <v>702</v>
      </c>
      <c r="E195" s="20" t="s">
        <v>291</v>
      </c>
      <c r="F195" s="20" t="s">
        <v>188</v>
      </c>
      <c r="G195" s="20" t="n">
        <v>1</v>
      </c>
      <c r="H195" s="21"/>
      <c r="I195" s="21"/>
      <c r="J195" s="22"/>
      <c r="K195" s="21"/>
      <c r="L195" s="20"/>
      <c r="M195" s="20"/>
      <c r="N195" s="23"/>
      <c r="O195" s="23"/>
      <c r="P195" s="21"/>
      <c r="Q195" s="22"/>
      <c r="R195" s="22" t="n">
        <v>1.59317911103859</v>
      </c>
      <c r="S195" s="24"/>
      <c r="T195" s="20" t="s">
        <v>85</v>
      </c>
      <c r="U195" s="20"/>
      <c r="V195" s="20" t="s">
        <v>703</v>
      </c>
    </row>
    <row r="196" customFormat="false" ht="15" hidden="false" customHeight="false" outlineLevel="0" collapsed="false">
      <c r="A196" s="20" t="s">
        <v>704</v>
      </c>
      <c r="B196" s="20" t="s">
        <v>597</v>
      </c>
      <c r="C196" s="20" t="s">
        <v>696</v>
      </c>
      <c r="D196" s="20" t="s">
        <v>702</v>
      </c>
      <c r="E196" s="20" t="s">
        <v>291</v>
      </c>
      <c r="F196" s="20" t="s">
        <v>188</v>
      </c>
      <c r="G196" s="20" t="n">
        <v>1</v>
      </c>
      <c r="H196" s="21"/>
      <c r="I196" s="21"/>
      <c r="J196" s="22"/>
      <c r="K196" s="21"/>
      <c r="L196" s="20"/>
      <c r="M196" s="20"/>
      <c r="N196" s="23"/>
      <c r="O196" s="23"/>
      <c r="P196" s="21"/>
      <c r="Q196" s="22"/>
      <c r="R196" s="22" t="n">
        <v>1.59317911755483</v>
      </c>
      <c r="S196" s="24"/>
      <c r="T196" s="20" t="s">
        <v>85</v>
      </c>
      <c r="U196" s="20"/>
      <c r="V196" s="20" t="s">
        <v>705</v>
      </c>
    </row>
    <row r="197" customFormat="false" ht="15" hidden="false" customHeight="false" outlineLevel="0" collapsed="false">
      <c r="A197" s="20" t="s">
        <v>706</v>
      </c>
      <c r="B197" s="20" t="s">
        <v>597</v>
      </c>
      <c r="C197" s="20" t="s">
        <v>707</v>
      </c>
      <c r="D197" s="20" t="s">
        <v>708</v>
      </c>
      <c r="E197" s="20" t="s">
        <v>271</v>
      </c>
      <c r="F197" s="20" t="s">
        <v>190</v>
      </c>
      <c r="G197" s="20" t="n">
        <v>1</v>
      </c>
      <c r="H197" s="21"/>
      <c r="I197" s="21"/>
      <c r="J197" s="22"/>
      <c r="K197" s="21"/>
      <c r="L197" s="20"/>
      <c r="M197" s="20"/>
      <c r="N197" s="23"/>
      <c r="O197" s="23"/>
      <c r="P197" s="21"/>
      <c r="Q197" s="22"/>
      <c r="R197" s="22" t="n">
        <v>0.339560889253141</v>
      </c>
      <c r="S197" s="24"/>
      <c r="T197" s="20" t="s">
        <v>85</v>
      </c>
      <c r="U197" s="20"/>
      <c r="V197" s="20" t="s">
        <v>709</v>
      </c>
    </row>
    <row r="198" customFormat="false" ht="15" hidden="false" customHeight="false" outlineLevel="0" collapsed="false">
      <c r="A198" s="20" t="s">
        <v>710</v>
      </c>
      <c r="B198" s="20" t="s">
        <v>597</v>
      </c>
      <c r="C198" s="20" t="s">
        <v>707</v>
      </c>
      <c r="D198" s="20" t="s">
        <v>708</v>
      </c>
      <c r="E198" s="20" t="s">
        <v>271</v>
      </c>
      <c r="F198" s="20" t="s">
        <v>190</v>
      </c>
      <c r="G198" s="20" t="n">
        <v>1</v>
      </c>
      <c r="H198" s="21"/>
      <c r="I198" s="21"/>
      <c r="J198" s="22"/>
      <c r="K198" s="21"/>
      <c r="L198" s="20"/>
      <c r="M198" s="20"/>
      <c r="N198" s="23"/>
      <c r="O198" s="23"/>
      <c r="P198" s="21"/>
      <c r="Q198" s="22"/>
      <c r="R198" s="22" t="n">
        <v>0.339560887737158</v>
      </c>
      <c r="S198" s="24"/>
      <c r="T198" s="20" t="s">
        <v>85</v>
      </c>
      <c r="U198" s="20"/>
      <c r="V198" s="20" t="s">
        <v>711</v>
      </c>
    </row>
    <row r="199" customFormat="false" ht="15" hidden="false" customHeight="false" outlineLevel="0" collapsed="false">
      <c r="A199" s="20" t="s">
        <v>712</v>
      </c>
      <c r="B199" s="20" t="s">
        <v>597</v>
      </c>
      <c r="C199" s="20" t="s">
        <v>707</v>
      </c>
      <c r="D199" s="20" t="s">
        <v>708</v>
      </c>
      <c r="E199" s="20" t="s">
        <v>271</v>
      </c>
      <c r="F199" s="20" t="s">
        <v>190</v>
      </c>
      <c r="G199" s="20" t="n">
        <v>1</v>
      </c>
      <c r="H199" s="21"/>
      <c r="I199" s="21"/>
      <c r="J199" s="22"/>
      <c r="K199" s="21"/>
      <c r="L199" s="20"/>
      <c r="M199" s="20"/>
      <c r="N199" s="23"/>
      <c r="O199" s="23"/>
      <c r="P199" s="21"/>
      <c r="Q199" s="22"/>
      <c r="R199" s="22" t="n">
        <v>0.33956088761949</v>
      </c>
      <c r="S199" s="24"/>
      <c r="T199" s="20" t="s">
        <v>85</v>
      </c>
      <c r="U199" s="20"/>
      <c r="V199" s="20" t="s">
        <v>713</v>
      </c>
    </row>
    <row r="200" customFormat="false" ht="15" hidden="false" customHeight="false" outlineLevel="0" collapsed="false">
      <c r="A200" s="20" t="s">
        <v>714</v>
      </c>
      <c r="B200" s="20" t="s">
        <v>597</v>
      </c>
      <c r="C200" s="20" t="s">
        <v>707</v>
      </c>
      <c r="D200" s="20" t="s">
        <v>708</v>
      </c>
      <c r="E200" s="20" t="s">
        <v>271</v>
      </c>
      <c r="F200" s="20" t="s">
        <v>190</v>
      </c>
      <c r="G200" s="20" t="n">
        <v>1</v>
      </c>
      <c r="H200" s="21"/>
      <c r="I200" s="21"/>
      <c r="J200" s="22"/>
      <c r="K200" s="21"/>
      <c r="L200" s="20"/>
      <c r="M200" s="20"/>
      <c r="N200" s="23"/>
      <c r="O200" s="23"/>
      <c r="P200" s="21"/>
      <c r="Q200" s="22"/>
      <c r="R200" s="22" t="n">
        <v>0.339560887778751</v>
      </c>
      <c r="S200" s="24"/>
      <c r="T200" s="20" t="s">
        <v>85</v>
      </c>
      <c r="U200" s="20"/>
      <c r="V200" s="20" t="s">
        <v>715</v>
      </c>
    </row>
    <row r="201" customFormat="false" ht="15" hidden="false" customHeight="false" outlineLevel="0" collapsed="false">
      <c r="A201" s="20" t="s">
        <v>716</v>
      </c>
      <c r="B201" s="20" t="s">
        <v>597</v>
      </c>
      <c r="C201" s="20" t="s">
        <v>717</v>
      </c>
      <c r="D201" s="20" t="s">
        <v>718</v>
      </c>
      <c r="E201" s="20" t="s">
        <v>271</v>
      </c>
      <c r="F201" s="20" t="s">
        <v>192</v>
      </c>
      <c r="G201" s="20" t="n">
        <v>1</v>
      </c>
      <c r="H201" s="21"/>
      <c r="I201" s="21"/>
      <c r="J201" s="22"/>
      <c r="K201" s="21"/>
      <c r="L201" s="20"/>
      <c r="M201" s="20"/>
      <c r="N201" s="23"/>
      <c r="O201" s="23"/>
      <c r="P201" s="21"/>
      <c r="Q201" s="22"/>
      <c r="R201" s="22" t="n">
        <v>0.0398884404159996</v>
      </c>
      <c r="S201" s="24"/>
      <c r="T201" s="20" t="s">
        <v>85</v>
      </c>
      <c r="U201" s="20"/>
      <c r="V201" s="20" t="s">
        <v>719</v>
      </c>
    </row>
    <row r="202" customFormat="false" ht="15" hidden="false" customHeight="false" outlineLevel="0" collapsed="false">
      <c r="A202" s="20" t="s">
        <v>720</v>
      </c>
      <c r="B202" s="20" t="s">
        <v>597</v>
      </c>
      <c r="C202" s="20" t="s">
        <v>717</v>
      </c>
      <c r="D202" s="20" t="s">
        <v>718</v>
      </c>
      <c r="E202" s="20" t="s">
        <v>271</v>
      </c>
      <c r="F202" s="20" t="s">
        <v>192</v>
      </c>
      <c r="G202" s="20" t="n">
        <v>1</v>
      </c>
      <c r="H202" s="21"/>
      <c r="I202" s="21"/>
      <c r="J202" s="22"/>
      <c r="K202" s="21"/>
      <c r="L202" s="20"/>
      <c r="M202" s="20"/>
      <c r="N202" s="23"/>
      <c r="O202" s="23"/>
      <c r="P202" s="21"/>
      <c r="Q202" s="22"/>
      <c r="R202" s="22" t="n">
        <v>0.0398884404159997</v>
      </c>
      <c r="S202" s="24"/>
      <c r="T202" s="20" t="s">
        <v>85</v>
      </c>
      <c r="U202" s="20"/>
      <c r="V202" s="20" t="s">
        <v>721</v>
      </c>
    </row>
    <row r="203" customFormat="false" ht="15" hidden="false" customHeight="false" outlineLevel="0" collapsed="false">
      <c r="A203" s="20" t="s">
        <v>722</v>
      </c>
      <c r="B203" s="20" t="s">
        <v>597</v>
      </c>
      <c r="C203" s="20" t="s">
        <v>717</v>
      </c>
      <c r="D203" s="20" t="s">
        <v>718</v>
      </c>
      <c r="E203" s="20" t="s">
        <v>271</v>
      </c>
      <c r="F203" s="20" t="s">
        <v>192</v>
      </c>
      <c r="G203" s="20" t="n">
        <v>1</v>
      </c>
      <c r="H203" s="21"/>
      <c r="I203" s="21"/>
      <c r="J203" s="22"/>
      <c r="K203" s="21"/>
      <c r="L203" s="20"/>
      <c r="M203" s="20"/>
      <c r="N203" s="23"/>
      <c r="O203" s="23"/>
      <c r="P203" s="21"/>
      <c r="Q203" s="22"/>
      <c r="R203" s="22" t="n">
        <v>0.0398884404159995</v>
      </c>
      <c r="S203" s="24"/>
      <c r="T203" s="20" t="s">
        <v>85</v>
      </c>
      <c r="U203" s="20"/>
      <c r="V203" s="20" t="s">
        <v>723</v>
      </c>
    </row>
    <row r="204" customFormat="false" ht="15" hidden="false" customHeight="false" outlineLevel="0" collapsed="false">
      <c r="A204" s="20" t="s">
        <v>724</v>
      </c>
      <c r="B204" s="20" t="s">
        <v>597</v>
      </c>
      <c r="C204" s="20" t="s">
        <v>717</v>
      </c>
      <c r="D204" s="20" t="s">
        <v>718</v>
      </c>
      <c r="E204" s="20" t="s">
        <v>271</v>
      </c>
      <c r="F204" s="20" t="s">
        <v>192</v>
      </c>
      <c r="G204" s="20" t="n">
        <v>1</v>
      </c>
      <c r="H204" s="21"/>
      <c r="I204" s="21"/>
      <c r="J204" s="22"/>
      <c r="K204" s="21"/>
      <c r="L204" s="20"/>
      <c r="M204" s="20"/>
      <c r="N204" s="23"/>
      <c r="O204" s="23"/>
      <c r="P204" s="21"/>
      <c r="Q204" s="22"/>
      <c r="R204" s="22" t="n">
        <v>0.0398884404159994</v>
      </c>
      <c r="S204" s="24"/>
      <c r="T204" s="20" t="s">
        <v>85</v>
      </c>
      <c r="U204" s="20"/>
      <c r="V204" s="20" t="s">
        <v>725</v>
      </c>
    </row>
    <row r="205" customFormat="false" ht="15" hidden="false" customHeight="false" outlineLevel="0" collapsed="false">
      <c r="A205" s="20" t="s">
        <v>726</v>
      </c>
      <c r="B205" s="20" t="s">
        <v>597</v>
      </c>
      <c r="C205" s="20" t="s">
        <v>717</v>
      </c>
      <c r="D205" s="20" t="s">
        <v>718</v>
      </c>
      <c r="E205" s="20" t="s">
        <v>291</v>
      </c>
      <c r="F205" s="20" t="s">
        <v>192</v>
      </c>
      <c r="G205" s="20" t="n">
        <v>1</v>
      </c>
      <c r="H205" s="21"/>
      <c r="I205" s="21"/>
      <c r="J205" s="22"/>
      <c r="K205" s="21"/>
      <c r="L205" s="20"/>
      <c r="M205" s="20"/>
      <c r="N205" s="23"/>
      <c r="O205" s="23"/>
      <c r="P205" s="21"/>
      <c r="Q205" s="22"/>
      <c r="R205" s="22" t="n">
        <v>0.0398884404159996</v>
      </c>
      <c r="S205" s="24"/>
      <c r="T205" s="20" t="s">
        <v>85</v>
      </c>
      <c r="U205" s="20"/>
      <c r="V205" s="20" t="s">
        <v>727</v>
      </c>
    </row>
    <row r="206" customFormat="false" ht="15" hidden="false" customHeight="false" outlineLevel="0" collapsed="false">
      <c r="A206" s="20" t="s">
        <v>728</v>
      </c>
      <c r="B206" s="20" t="s">
        <v>597</v>
      </c>
      <c r="C206" s="20" t="s">
        <v>717</v>
      </c>
      <c r="D206" s="20" t="s">
        <v>718</v>
      </c>
      <c r="E206" s="20" t="s">
        <v>291</v>
      </c>
      <c r="F206" s="20" t="s">
        <v>192</v>
      </c>
      <c r="G206" s="20" t="n">
        <v>1</v>
      </c>
      <c r="H206" s="21"/>
      <c r="I206" s="21"/>
      <c r="J206" s="22"/>
      <c r="K206" s="21"/>
      <c r="L206" s="20"/>
      <c r="M206" s="20"/>
      <c r="N206" s="23"/>
      <c r="O206" s="23"/>
      <c r="P206" s="21"/>
      <c r="Q206" s="22"/>
      <c r="R206" s="22" t="n">
        <v>0.0398884404159997</v>
      </c>
      <c r="S206" s="24"/>
      <c r="T206" s="20" t="s">
        <v>85</v>
      </c>
      <c r="U206" s="20"/>
      <c r="V206" s="20" t="s">
        <v>729</v>
      </c>
    </row>
    <row r="207" customFormat="false" ht="15" hidden="false" customHeight="false" outlineLevel="0" collapsed="false">
      <c r="A207" s="20" t="s">
        <v>730</v>
      </c>
      <c r="B207" s="20" t="s">
        <v>597</v>
      </c>
      <c r="C207" s="20" t="s">
        <v>717</v>
      </c>
      <c r="D207" s="20" t="s">
        <v>718</v>
      </c>
      <c r="E207" s="20" t="s">
        <v>291</v>
      </c>
      <c r="F207" s="20" t="s">
        <v>192</v>
      </c>
      <c r="G207" s="20" t="n">
        <v>1</v>
      </c>
      <c r="H207" s="21"/>
      <c r="I207" s="21"/>
      <c r="J207" s="22"/>
      <c r="K207" s="21"/>
      <c r="L207" s="20"/>
      <c r="M207" s="20"/>
      <c r="N207" s="23"/>
      <c r="O207" s="23"/>
      <c r="P207" s="21"/>
      <c r="Q207" s="22"/>
      <c r="R207" s="22" t="n">
        <v>0.0398884404159993</v>
      </c>
      <c r="S207" s="24"/>
      <c r="T207" s="20" t="s">
        <v>85</v>
      </c>
      <c r="U207" s="20"/>
      <c r="V207" s="20" t="s">
        <v>731</v>
      </c>
    </row>
    <row r="208" customFormat="false" ht="15" hidden="false" customHeight="false" outlineLevel="0" collapsed="false">
      <c r="A208" s="20" t="s">
        <v>732</v>
      </c>
      <c r="B208" s="20" t="s">
        <v>597</v>
      </c>
      <c r="C208" s="20" t="s">
        <v>717</v>
      </c>
      <c r="D208" s="20" t="s">
        <v>718</v>
      </c>
      <c r="E208" s="20" t="s">
        <v>291</v>
      </c>
      <c r="F208" s="20" t="s">
        <v>192</v>
      </c>
      <c r="G208" s="20" t="n">
        <v>1</v>
      </c>
      <c r="H208" s="21"/>
      <c r="I208" s="21"/>
      <c r="J208" s="22"/>
      <c r="K208" s="21"/>
      <c r="L208" s="20"/>
      <c r="M208" s="20"/>
      <c r="N208" s="23"/>
      <c r="O208" s="23"/>
      <c r="P208" s="21"/>
      <c r="Q208" s="22"/>
      <c r="R208" s="22" t="n">
        <v>0.0398884404159997</v>
      </c>
      <c r="S208" s="24"/>
      <c r="T208" s="20" t="s">
        <v>85</v>
      </c>
      <c r="U208" s="20"/>
      <c r="V208" s="20" t="s">
        <v>733</v>
      </c>
    </row>
    <row r="209" customFormat="false" ht="15" hidden="false" customHeight="false" outlineLevel="0" collapsed="false">
      <c r="A209" s="20" t="s">
        <v>734</v>
      </c>
      <c r="B209" s="20" t="s">
        <v>597</v>
      </c>
      <c r="C209" s="20" t="s">
        <v>717</v>
      </c>
      <c r="D209" s="20" t="s">
        <v>735</v>
      </c>
      <c r="E209" s="20" t="s">
        <v>271</v>
      </c>
      <c r="F209" s="20" t="s">
        <v>194</v>
      </c>
      <c r="G209" s="20" t="n">
        <v>1</v>
      </c>
      <c r="H209" s="21"/>
      <c r="I209" s="21"/>
      <c r="J209" s="22"/>
      <c r="K209" s="21"/>
      <c r="L209" s="20"/>
      <c r="M209" s="20"/>
      <c r="N209" s="23"/>
      <c r="O209" s="23"/>
      <c r="P209" s="21"/>
      <c r="Q209" s="22"/>
      <c r="R209" s="22" t="n">
        <v>0.0690120092959985</v>
      </c>
      <c r="S209" s="24"/>
      <c r="T209" s="20" t="s">
        <v>85</v>
      </c>
      <c r="U209" s="20"/>
      <c r="V209" s="20" t="s">
        <v>736</v>
      </c>
    </row>
    <row r="210" customFormat="false" ht="15" hidden="false" customHeight="false" outlineLevel="0" collapsed="false">
      <c r="A210" s="20" t="s">
        <v>737</v>
      </c>
      <c r="B210" s="20" t="s">
        <v>597</v>
      </c>
      <c r="C210" s="20" t="s">
        <v>717</v>
      </c>
      <c r="D210" s="20" t="s">
        <v>735</v>
      </c>
      <c r="E210" s="20" t="s">
        <v>271</v>
      </c>
      <c r="F210" s="20" t="s">
        <v>194</v>
      </c>
      <c r="G210" s="20" t="n">
        <v>1</v>
      </c>
      <c r="H210" s="21"/>
      <c r="I210" s="21"/>
      <c r="J210" s="22"/>
      <c r="K210" s="21"/>
      <c r="L210" s="20"/>
      <c r="M210" s="20"/>
      <c r="N210" s="23"/>
      <c r="O210" s="23"/>
      <c r="P210" s="21"/>
      <c r="Q210" s="22"/>
      <c r="R210" s="22" t="n">
        <v>0.0690120092959984</v>
      </c>
      <c r="S210" s="24"/>
      <c r="T210" s="20" t="s">
        <v>85</v>
      </c>
      <c r="U210" s="20"/>
      <c r="V210" s="20" t="s">
        <v>738</v>
      </c>
    </row>
    <row r="211" customFormat="false" ht="15" hidden="false" customHeight="false" outlineLevel="0" collapsed="false">
      <c r="A211" s="20" t="s">
        <v>739</v>
      </c>
      <c r="B211" s="20" t="s">
        <v>268</v>
      </c>
      <c r="C211" s="20" t="s">
        <v>269</v>
      </c>
      <c r="D211" s="20" t="s">
        <v>740</v>
      </c>
      <c r="E211" s="20" t="s">
        <v>271</v>
      </c>
      <c r="F211" s="20" t="s">
        <v>199</v>
      </c>
      <c r="G211" s="20" t="n">
        <v>1</v>
      </c>
      <c r="H211" s="21"/>
      <c r="I211" s="21" t="n">
        <v>25.4198572000002</v>
      </c>
      <c r="J211" s="22" t="n">
        <v>3.81297858000003</v>
      </c>
      <c r="K211" s="21" t="n">
        <v>20.3654680000001</v>
      </c>
      <c r="L211" s="20" t="n">
        <v>150</v>
      </c>
      <c r="M211" s="20"/>
      <c r="N211" s="23"/>
      <c r="O211" s="23"/>
      <c r="P211" s="21" t="n">
        <v>25.4198572000002</v>
      </c>
      <c r="Q211" s="22" t="n">
        <v>3.81297858000003</v>
      </c>
      <c r="R211" s="22" t="n">
        <v>3.81297858000003</v>
      </c>
      <c r="S211" s="24" t="n">
        <f aca="false">(R211-Q211)/Q211</f>
        <v>0</v>
      </c>
      <c r="T211" s="20" t="s">
        <v>252</v>
      </c>
      <c r="U211" s="20"/>
      <c r="V211" s="20" t="s">
        <v>741</v>
      </c>
    </row>
    <row r="212" customFormat="false" ht="15" hidden="false" customHeight="false" outlineLevel="0" collapsed="false">
      <c r="A212" s="20" t="s">
        <v>742</v>
      </c>
      <c r="B212" s="20" t="s">
        <v>268</v>
      </c>
      <c r="C212" s="20" t="s">
        <v>269</v>
      </c>
      <c r="D212" s="20" t="s">
        <v>740</v>
      </c>
      <c r="E212" s="20" t="s">
        <v>271</v>
      </c>
      <c r="F212" s="20" t="s">
        <v>199</v>
      </c>
      <c r="G212" s="20" t="n">
        <v>1</v>
      </c>
      <c r="H212" s="21"/>
      <c r="I212" s="21" t="n">
        <v>25.4198572</v>
      </c>
      <c r="J212" s="22" t="n">
        <v>3.81297858</v>
      </c>
      <c r="K212" s="21" t="n">
        <v>20.365468</v>
      </c>
      <c r="L212" s="20" t="n">
        <v>150</v>
      </c>
      <c r="M212" s="20"/>
      <c r="N212" s="23"/>
      <c r="O212" s="23"/>
      <c r="P212" s="21" t="n">
        <v>25.4198572</v>
      </c>
      <c r="Q212" s="22" t="n">
        <v>3.81297858</v>
      </c>
      <c r="R212" s="22" t="n">
        <v>3.81297858</v>
      </c>
      <c r="S212" s="24" t="n">
        <f aca="false">(R212-Q212)/Q212</f>
        <v>0</v>
      </c>
      <c r="T212" s="20" t="s">
        <v>252</v>
      </c>
      <c r="U212" s="20"/>
      <c r="V212" s="20" t="s">
        <v>743</v>
      </c>
    </row>
    <row r="213" customFormat="false" ht="15" hidden="false" customHeight="false" outlineLevel="0" collapsed="false">
      <c r="A213" s="20" t="s">
        <v>744</v>
      </c>
      <c r="B213" s="20" t="s">
        <v>745</v>
      </c>
      <c r="C213" s="20" t="s">
        <v>320</v>
      </c>
      <c r="D213" s="20" t="s">
        <v>321</v>
      </c>
      <c r="E213" s="20" t="s">
        <v>271</v>
      </c>
      <c r="F213" s="20" t="s">
        <v>746</v>
      </c>
      <c r="G213" s="20" t="n">
        <v>0</v>
      </c>
      <c r="H213" s="21"/>
      <c r="I213" s="21"/>
      <c r="J213" s="22"/>
      <c r="K213" s="21"/>
      <c r="L213" s="20"/>
      <c r="M213" s="20"/>
      <c r="N213" s="23"/>
      <c r="O213" s="23"/>
      <c r="P213" s="21"/>
      <c r="Q213" s="22"/>
      <c r="R213" s="22" t="n">
        <v>0.0926213909392042</v>
      </c>
      <c r="S213" s="24"/>
      <c r="T213" s="20" t="s">
        <v>747</v>
      </c>
      <c r="U213" s="20"/>
      <c r="V213" s="20" t="s">
        <v>34</v>
      </c>
    </row>
    <row r="214" customFormat="false" ht="15" hidden="false" customHeight="false" outlineLevel="0" collapsed="false">
      <c r="A214" s="20" t="s">
        <v>748</v>
      </c>
      <c r="B214" s="20" t="s">
        <v>745</v>
      </c>
      <c r="C214" s="20" t="s">
        <v>320</v>
      </c>
      <c r="D214" s="20" t="s">
        <v>321</v>
      </c>
      <c r="E214" s="20" t="s">
        <v>271</v>
      </c>
      <c r="F214" s="20" t="s">
        <v>746</v>
      </c>
      <c r="G214" s="20" t="n">
        <v>0</v>
      </c>
      <c r="H214" s="21"/>
      <c r="I214" s="21"/>
      <c r="J214" s="22"/>
      <c r="K214" s="21"/>
      <c r="L214" s="20"/>
      <c r="M214" s="20"/>
      <c r="N214" s="23"/>
      <c r="O214" s="23"/>
      <c r="P214" s="21"/>
      <c r="Q214" s="22"/>
      <c r="R214" s="22" t="n">
        <v>0.0926213909392095</v>
      </c>
      <c r="S214" s="24"/>
      <c r="T214" s="20" t="s">
        <v>747</v>
      </c>
      <c r="U214" s="20"/>
      <c r="V214" s="20" t="s">
        <v>749</v>
      </c>
    </row>
    <row r="215" customFormat="false" ht="15" hidden="false" customHeight="false" outlineLevel="0" collapsed="false">
      <c r="A215" s="20" t="s">
        <v>750</v>
      </c>
      <c r="B215" s="20" t="s">
        <v>745</v>
      </c>
      <c r="C215" s="20" t="s">
        <v>320</v>
      </c>
      <c r="D215" s="20" t="s">
        <v>321</v>
      </c>
      <c r="E215" s="20" t="s">
        <v>271</v>
      </c>
      <c r="F215" s="20" t="s">
        <v>746</v>
      </c>
      <c r="G215" s="20" t="n">
        <v>0</v>
      </c>
      <c r="H215" s="21"/>
      <c r="I215" s="21"/>
      <c r="J215" s="22"/>
      <c r="K215" s="21"/>
      <c r="L215" s="20"/>
      <c r="M215" s="20"/>
      <c r="N215" s="23"/>
      <c r="O215" s="23"/>
      <c r="P215" s="21"/>
      <c r="Q215" s="22"/>
      <c r="R215" s="22" t="n">
        <v>0.0926213909392071</v>
      </c>
      <c r="S215" s="24"/>
      <c r="T215" s="20" t="s">
        <v>747</v>
      </c>
      <c r="U215" s="20"/>
      <c r="V215" s="20" t="s">
        <v>34</v>
      </c>
    </row>
    <row r="216" customFormat="false" ht="15" hidden="false" customHeight="false" outlineLevel="0" collapsed="false">
      <c r="A216" s="20" t="s">
        <v>751</v>
      </c>
      <c r="B216" s="20" t="s">
        <v>745</v>
      </c>
      <c r="C216" s="20" t="s">
        <v>320</v>
      </c>
      <c r="D216" s="20" t="s">
        <v>321</v>
      </c>
      <c r="E216" s="20" t="s">
        <v>271</v>
      </c>
      <c r="F216" s="20" t="s">
        <v>746</v>
      </c>
      <c r="G216" s="20" t="n">
        <v>0</v>
      </c>
      <c r="H216" s="21"/>
      <c r="I216" s="21"/>
      <c r="J216" s="22"/>
      <c r="K216" s="21"/>
      <c r="L216" s="20"/>
      <c r="M216" s="20"/>
      <c r="N216" s="23"/>
      <c r="O216" s="23"/>
      <c r="P216" s="21"/>
      <c r="Q216" s="22"/>
      <c r="R216" s="22" t="n">
        <v>0.0926213909392071</v>
      </c>
      <c r="S216" s="24"/>
      <c r="T216" s="20" t="s">
        <v>747</v>
      </c>
      <c r="U216" s="20"/>
      <c r="V216" s="20" t="s">
        <v>749</v>
      </c>
    </row>
    <row r="217" customFormat="false" ht="15" hidden="false" customHeight="false" outlineLevel="0" collapsed="false">
      <c r="A217" s="20" t="s">
        <v>752</v>
      </c>
      <c r="B217" s="20" t="s">
        <v>753</v>
      </c>
      <c r="C217" s="20" t="s">
        <v>320</v>
      </c>
      <c r="D217" s="20" t="s">
        <v>321</v>
      </c>
      <c r="E217" s="20" t="s">
        <v>271</v>
      </c>
      <c r="F217" s="20" t="s">
        <v>746</v>
      </c>
      <c r="G217" s="20" t="n">
        <v>0</v>
      </c>
      <c r="H217" s="21"/>
      <c r="I217" s="21"/>
      <c r="J217" s="22"/>
      <c r="K217" s="21"/>
      <c r="L217" s="20"/>
      <c r="M217" s="20"/>
      <c r="N217" s="23"/>
      <c r="O217" s="23"/>
      <c r="P217" s="21"/>
      <c r="Q217" s="22"/>
      <c r="R217" s="22" t="n">
        <v>0.208445094873389</v>
      </c>
      <c r="S217" s="24"/>
      <c r="T217" s="20" t="s">
        <v>747</v>
      </c>
      <c r="U217" s="20"/>
      <c r="V217" s="20" t="s">
        <v>34</v>
      </c>
    </row>
    <row r="218" customFormat="false" ht="15" hidden="false" customHeight="false" outlineLevel="0" collapsed="false">
      <c r="A218" s="20" t="s">
        <v>754</v>
      </c>
      <c r="B218" s="20" t="s">
        <v>753</v>
      </c>
      <c r="C218" s="20" t="s">
        <v>320</v>
      </c>
      <c r="D218" s="20" t="s">
        <v>321</v>
      </c>
      <c r="E218" s="20" t="s">
        <v>271</v>
      </c>
      <c r="F218" s="20" t="s">
        <v>746</v>
      </c>
      <c r="G218" s="20" t="n">
        <v>0</v>
      </c>
      <c r="H218" s="21"/>
      <c r="I218" s="21"/>
      <c r="J218" s="22"/>
      <c r="K218" s="21"/>
      <c r="L218" s="20"/>
      <c r="M218" s="20"/>
      <c r="N218" s="23"/>
      <c r="O218" s="23"/>
      <c r="P218" s="21"/>
      <c r="Q218" s="22"/>
      <c r="R218" s="22" t="n">
        <v>0.208445094873401</v>
      </c>
      <c r="S218" s="24"/>
      <c r="T218" s="20" t="s">
        <v>747</v>
      </c>
      <c r="U218" s="20"/>
      <c r="V218" s="20" t="s">
        <v>34</v>
      </c>
    </row>
    <row r="219" customFormat="false" ht="15" hidden="false" customHeight="false" outlineLevel="0" collapsed="false">
      <c r="A219" s="20" t="s">
        <v>755</v>
      </c>
      <c r="B219" s="20" t="s">
        <v>268</v>
      </c>
      <c r="C219" s="20" t="s">
        <v>306</v>
      </c>
      <c r="D219" s="20" t="s">
        <v>307</v>
      </c>
      <c r="E219" s="20" t="s">
        <v>308</v>
      </c>
      <c r="F219" s="20" t="s">
        <v>746</v>
      </c>
      <c r="G219" s="20" t="n">
        <v>0</v>
      </c>
      <c r="H219" s="21"/>
      <c r="I219" s="21"/>
      <c r="J219" s="22"/>
      <c r="K219" s="21"/>
      <c r="L219" s="20"/>
      <c r="M219" s="20"/>
      <c r="N219" s="23"/>
      <c r="O219" s="23"/>
      <c r="P219" s="21"/>
      <c r="Q219" s="22"/>
      <c r="R219" s="22" t="n">
        <v>60.7471984428599</v>
      </c>
      <c r="S219" s="24"/>
      <c r="T219" s="20" t="s">
        <v>756</v>
      </c>
      <c r="U219" s="20"/>
      <c r="V219" s="20" t="s">
        <v>310</v>
      </c>
    </row>
  </sheetData>
  <autoFilter ref="A1:V2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40"/>
    <col collapsed="false" customWidth="true" hidden="false" outlineLevel="0" max="11" min="10" style="0" width="11"/>
  </cols>
  <sheetData>
    <row r="1" customFormat="false" ht="23.85" hidden="false" customHeight="false" outlineLevel="0" collapsed="false">
      <c r="A1" s="5" t="s">
        <v>208</v>
      </c>
      <c r="B1" s="5" t="s">
        <v>209</v>
      </c>
      <c r="C1" s="5" t="s">
        <v>211</v>
      </c>
      <c r="D1" s="5" t="s">
        <v>212</v>
      </c>
      <c r="E1" s="5" t="s">
        <v>757</v>
      </c>
      <c r="F1" s="5" t="s">
        <v>758</v>
      </c>
      <c r="G1" s="5" t="s">
        <v>759</v>
      </c>
      <c r="H1" s="5" t="s">
        <v>760</v>
      </c>
      <c r="I1" s="5" t="s">
        <v>761</v>
      </c>
      <c r="J1" s="5" t="s">
        <v>762</v>
      </c>
      <c r="K1" s="5" t="s">
        <v>763</v>
      </c>
    </row>
    <row r="2" customFormat="false" ht="15" hidden="false" customHeight="false" outlineLevel="0" collapsed="false">
      <c r="A2" s="20" t="s">
        <v>311</v>
      </c>
      <c r="B2" s="20" t="s">
        <v>312</v>
      </c>
      <c r="C2" s="20" t="s">
        <v>314</v>
      </c>
      <c r="D2" s="20" t="s">
        <v>308</v>
      </c>
      <c r="E2" s="22" t="n">
        <v>1.17253768296659</v>
      </c>
      <c r="F2" s="22" t="n">
        <v>0.634800000000001</v>
      </c>
      <c r="G2" s="21" t="n">
        <f aca="false">E2*F2</f>
        <v>0.74432692114719</v>
      </c>
      <c r="H2" s="20" t="s">
        <v>764</v>
      </c>
      <c r="I2" s="20" t="s">
        <v>307</v>
      </c>
      <c r="J2" s="20" t="s">
        <v>79</v>
      </c>
      <c r="K2" s="20" t="s">
        <v>82</v>
      </c>
    </row>
    <row r="3" customFormat="false" ht="15" hidden="false" customHeight="false" outlineLevel="0" collapsed="false">
      <c r="A3" s="20" t="s">
        <v>316</v>
      </c>
      <c r="B3" s="20" t="s">
        <v>312</v>
      </c>
      <c r="C3" s="20" t="s">
        <v>314</v>
      </c>
      <c r="D3" s="20" t="s">
        <v>308</v>
      </c>
      <c r="E3" s="22" t="n">
        <v>1.17253768296659</v>
      </c>
      <c r="F3" s="22" t="n">
        <v>0.634800000000001</v>
      </c>
      <c r="G3" s="21" t="n">
        <f aca="false">E3*F3</f>
        <v>0.74432692114719</v>
      </c>
      <c r="H3" s="20" t="s">
        <v>764</v>
      </c>
      <c r="I3" s="20" t="s">
        <v>307</v>
      </c>
      <c r="J3" s="20" t="s">
        <v>79</v>
      </c>
      <c r="K3" s="20" t="s">
        <v>82</v>
      </c>
    </row>
    <row r="4" customFormat="false" ht="15" hidden="false" customHeight="false" outlineLevel="0" collapsed="false">
      <c r="A4" s="20" t="s">
        <v>367</v>
      </c>
      <c r="B4" s="20" t="s">
        <v>312</v>
      </c>
      <c r="C4" s="20" t="s">
        <v>369</v>
      </c>
      <c r="D4" s="20" t="s">
        <v>271</v>
      </c>
      <c r="E4" s="22" t="n">
        <v>4.835</v>
      </c>
      <c r="F4" s="22" t="n">
        <v>2.42</v>
      </c>
      <c r="G4" s="21" t="n">
        <f aca="false">E4*F4</f>
        <v>11.7007</v>
      </c>
      <c r="H4" s="20" t="s">
        <v>765</v>
      </c>
      <c r="I4" s="20" t="s">
        <v>340</v>
      </c>
      <c r="J4" s="20" t="s">
        <v>101</v>
      </c>
      <c r="K4" s="20" t="s">
        <v>109</v>
      </c>
    </row>
    <row r="5" customFormat="false" ht="15" hidden="false" customHeight="false" outlineLevel="0" collapsed="false">
      <c r="A5" s="20" t="s">
        <v>371</v>
      </c>
      <c r="B5" s="20" t="s">
        <v>312</v>
      </c>
      <c r="C5" s="20" t="s">
        <v>369</v>
      </c>
      <c r="D5" s="20" t="s">
        <v>271</v>
      </c>
      <c r="E5" s="22" t="n">
        <v>4.835</v>
      </c>
      <c r="F5" s="22" t="n">
        <v>2.42</v>
      </c>
      <c r="G5" s="21" t="n">
        <f aca="false">E5*F5</f>
        <v>11.7007</v>
      </c>
      <c r="H5" s="20" t="s">
        <v>765</v>
      </c>
      <c r="I5" s="20" t="s">
        <v>340</v>
      </c>
      <c r="J5" s="20" t="s">
        <v>101</v>
      </c>
      <c r="K5" s="20" t="s">
        <v>109</v>
      </c>
    </row>
    <row r="6" customFormat="false" ht="15" hidden="false" customHeight="false" outlineLevel="0" collapsed="false">
      <c r="A6" s="20" t="s">
        <v>373</v>
      </c>
      <c r="B6" s="20" t="s">
        <v>312</v>
      </c>
      <c r="C6" s="20" t="s">
        <v>374</v>
      </c>
      <c r="D6" s="20" t="s">
        <v>291</v>
      </c>
      <c r="E6" s="22" t="n">
        <v>2.8</v>
      </c>
      <c r="F6" s="22" t="n">
        <v>2.41</v>
      </c>
      <c r="G6" s="21" t="n">
        <f aca="false">E6*F6</f>
        <v>6.74799999999999</v>
      </c>
      <c r="H6" s="20" t="s">
        <v>765</v>
      </c>
      <c r="I6" s="20" t="s">
        <v>340</v>
      </c>
      <c r="J6" s="20" t="s">
        <v>101</v>
      </c>
      <c r="K6" s="20" t="s">
        <v>111</v>
      </c>
    </row>
    <row r="7" customFormat="false" ht="15" hidden="false" customHeight="false" outlineLevel="0" collapsed="false">
      <c r="A7" s="20" t="s">
        <v>376</v>
      </c>
      <c r="B7" s="20" t="s">
        <v>312</v>
      </c>
      <c r="C7" s="20" t="s">
        <v>374</v>
      </c>
      <c r="D7" s="20" t="s">
        <v>291</v>
      </c>
      <c r="E7" s="22" t="n">
        <v>2.8</v>
      </c>
      <c r="F7" s="22" t="n">
        <v>2.41</v>
      </c>
      <c r="G7" s="21" t="n">
        <f aca="false">E7*F7</f>
        <v>6.74799999999999</v>
      </c>
      <c r="H7" s="20" t="s">
        <v>765</v>
      </c>
      <c r="I7" s="20" t="s">
        <v>340</v>
      </c>
      <c r="J7" s="20" t="s">
        <v>101</v>
      </c>
      <c r="K7" s="20" t="s">
        <v>111</v>
      </c>
    </row>
    <row r="8" customFormat="false" ht="15" hidden="false" customHeight="false" outlineLevel="0" collapsed="false">
      <c r="A8" s="20" t="s">
        <v>378</v>
      </c>
      <c r="B8" s="20" t="s">
        <v>312</v>
      </c>
      <c r="C8" s="20" t="s">
        <v>374</v>
      </c>
      <c r="D8" s="20" t="s">
        <v>291</v>
      </c>
      <c r="E8" s="22" t="n">
        <v>2.8</v>
      </c>
      <c r="F8" s="22" t="n">
        <v>2.41</v>
      </c>
      <c r="G8" s="21" t="n">
        <f aca="false">E8*F8</f>
        <v>6.74799999999999</v>
      </c>
      <c r="H8" s="20" t="s">
        <v>765</v>
      </c>
      <c r="I8" s="20" t="s">
        <v>340</v>
      </c>
      <c r="J8" s="20" t="s">
        <v>101</v>
      </c>
      <c r="K8" s="20" t="s">
        <v>111</v>
      </c>
    </row>
    <row r="9" customFormat="false" ht="15" hidden="false" customHeight="false" outlineLevel="0" collapsed="false">
      <c r="A9" s="20" t="s">
        <v>380</v>
      </c>
      <c r="B9" s="20" t="s">
        <v>312</v>
      </c>
      <c r="C9" s="20" t="s">
        <v>374</v>
      </c>
      <c r="D9" s="20" t="s">
        <v>291</v>
      </c>
      <c r="E9" s="22" t="n">
        <v>2.8</v>
      </c>
      <c r="F9" s="22" t="n">
        <v>2.41</v>
      </c>
      <c r="G9" s="21" t="n">
        <f aca="false">E9*F9</f>
        <v>6.74799999999999</v>
      </c>
      <c r="H9" s="20" t="s">
        <v>765</v>
      </c>
      <c r="I9" s="20" t="s">
        <v>340</v>
      </c>
      <c r="J9" s="20" t="s">
        <v>101</v>
      </c>
      <c r="K9" s="20" t="s">
        <v>111</v>
      </c>
    </row>
    <row r="10" customFormat="false" ht="15" hidden="false" customHeight="false" outlineLevel="0" collapsed="false">
      <c r="A10" s="20" t="s">
        <v>382</v>
      </c>
      <c r="B10" s="20" t="s">
        <v>312</v>
      </c>
      <c r="C10" s="20" t="s">
        <v>383</v>
      </c>
      <c r="D10" s="20" t="s">
        <v>271</v>
      </c>
      <c r="E10" s="22" t="n">
        <v>0.75</v>
      </c>
      <c r="F10" s="22" t="n">
        <v>2.2</v>
      </c>
      <c r="G10" s="21" t="n">
        <f aca="false">E10*F10</f>
        <v>1.65</v>
      </c>
      <c r="H10" s="20" t="s">
        <v>765</v>
      </c>
      <c r="I10" s="20" t="s">
        <v>340</v>
      </c>
      <c r="J10" s="20" t="s">
        <v>101</v>
      </c>
      <c r="K10" s="20" t="s">
        <v>113</v>
      </c>
    </row>
    <row r="11" customFormat="false" ht="15" hidden="false" customHeight="false" outlineLevel="0" collapsed="false">
      <c r="A11" s="20" t="s">
        <v>385</v>
      </c>
      <c r="B11" s="20" t="s">
        <v>312</v>
      </c>
      <c r="C11" s="20" t="s">
        <v>383</v>
      </c>
      <c r="D11" s="20" t="s">
        <v>271</v>
      </c>
      <c r="E11" s="22" t="n">
        <v>0.749999999999998</v>
      </c>
      <c r="F11" s="22" t="n">
        <v>2.2</v>
      </c>
      <c r="G11" s="21" t="n">
        <f aca="false">E11*F11</f>
        <v>1.64999999999999</v>
      </c>
      <c r="H11" s="20" t="s">
        <v>765</v>
      </c>
      <c r="I11" s="20" t="s">
        <v>340</v>
      </c>
      <c r="J11" s="20" t="s">
        <v>101</v>
      </c>
      <c r="K11" s="20" t="s">
        <v>113</v>
      </c>
    </row>
    <row r="12" customFormat="false" ht="15" hidden="false" customHeight="false" outlineLevel="0" collapsed="false">
      <c r="A12" s="20" t="s">
        <v>387</v>
      </c>
      <c r="B12" s="20" t="s">
        <v>312</v>
      </c>
      <c r="C12" s="20" t="s">
        <v>383</v>
      </c>
      <c r="D12" s="20" t="s">
        <v>291</v>
      </c>
      <c r="E12" s="22" t="n">
        <v>0.749999999999998</v>
      </c>
      <c r="F12" s="22" t="n">
        <v>2.2</v>
      </c>
      <c r="G12" s="21" t="n">
        <f aca="false">E12*F12</f>
        <v>1.64999999999999</v>
      </c>
      <c r="H12" s="20" t="s">
        <v>765</v>
      </c>
      <c r="I12" s="20" t="s">
        <v>340</v>
      </c>
      <c r="J12" s="20" t="s">
        <v>101</v>
      </c>
      <c r="K12" s="20" t="s">
        <v>113</v>
      </c>
    </row>
    <row r="13" customFormat="false" ht="15" hidden="false" customHeight="false" outlineLevel="0" collapsed="false">
      <c r="A13" s="20" t="s">
        <v>389</v>
      </c>
      <c r="B13" s="20" t="s">
        <v>312</v>
      </c>
      <c r="C13" s="20" t="s">
        <v>383</v>
      </c>
      <c r="D13" s="20" t="s">
        <v>291</v>
      </c>
      <c r="E13" s="22" t="n">
        <v>0.75</v>
      </c>
      <c r="F13" s="22" t="n">
        <v>2.2</v>
      </c>
      <c r="G13" s="21" t="n">
        <f aca="false">E13*F13</f>
        <v>1.65</v>
      </c>
      <c r="H13" s="20" t="s">
        <v>765</v>
      </c>
      <c r="I13" s="20" t="s">
        <v>340</v>
      </c>
      <c r="J13" s="20" t="s">
        <v>101</v>
      </c>
      <c r="K13" s="20" t="s">
        <v>113</v>
      </c>
    </row>
    <row r="14" customFormat="false" ht="15" hidden="false" customHeight="false" outlineLevel="0" collapsed="false">
      <c r="A14" s="20" t="s">
        <v>391</v>
      </c>
      <c r="B14" s="20" t="s">
        <v>312</v>
      </c>
      <c r="C14" s="20" t="s">
        <v>392</v>
      </c>
      <c r="D14" s="20" t="s">
        <v>291</v>
      </c>
      <c r="E14" s="22" t="n">
        <v>0.819</v>
      </c>
      <c r="F14" s="22" t="n">
        <v>0.758999999999998</v>
      </c>
      <c r="G14" s="21" t="n">
        <f aca="false">E14*F14</f>
        <v>0.621620999999998</v>
      </c>
      <c r="H14" s="20" t="s">
        <v>765</v>
      </c>
      <c r="I14" s="20" t="s">
        <v>340</v>
      </c>
      <c r="J14" s="20" t="s">
        <v>101</v>
      </c>
      <c r="K14" s="20" t="s">
        <v>115</v>
      </c>
    </row>
    <row r="15" customFormat="false" ht="15" hidden="false" customHeight="false" outlineLevel="0" collapsed="false">
      <c r="A15" s="20" t="s">
        <v>394</v>
      </c>
      <c r="B15" s="20" t="s">
        <v>312</v>
      </c>
      <c r="C15" s="20" t="s">
        <v>392</v>
      </c>
      <c r="D15" s="20" t="s">
        <v>291</v>
      </c>
      <c r="E15" s="22" t="n">
        <v>0.819</v>
      </c>
      <c r="F15" s="22" t="n">
        <v>0.758999999999999</v>
      </c>
      <c r="G15" s="21" t="n">
        <f aca="false">E15*F15</f>
        <v>0.621620999999998</v>
      </c>
      <c r="H15" s="20" t="s">
        <v>765</v>
      </c>
      <c r="I15" s="20" t="s">
        <v>340</v>
      </c>
      <c r="J15" s="20" t="s">
        <v>101</v>
      </c>
      <c r="K15" s="20" t="s">
        <v>115</v>
      </c>
    </row>
    <row r="16" customFormat="false" ht="15" hidden="false" customHeight="false" outlineLevel="0" collapsed="false">
      <c r="A16" s="20" t="s">
        <v>396</v>
      </c>
      <c r="B16" s="20" t="s">
        <v>312</v>
      </c>
      <c r="C16" s="20" t="s">
        <v>392</v>
      </c>
      <c r="D16" s="20" t="s">
        <v>291</v>
      </c>
      <c r="E16" s="22" t="n">
        <v>0.819</v>
      </c>
      <c r="F16" s="22" t="n">
        <v>0.758999999999998</v>
      </c>
      <c r="G16" s="21" t="n">
        <f aca="false">E16*F16</f>
        <v>0.621620999999998</v>
      </c>
      <c r="H16" s="20" t="s">
        <v>765</v>
      </c>
      <c r="I16" s="20" t="s">
        <v>340</v>
      </c>
      <c r="J16" s="20" t="s">
        <v>101</v>
      </c>
      <c r="K16" s="20" t="s">
        <v>115</v>
      </c>
    </row>
    <row r="17" customFormat="false" ht="15" hidden="false" customHeight="false" outlineLevel="0" collapsed="false">
      <c r="A17" s="20" t="s">
        <v>398</v>
      </c>
      <c r="B17" s="20" t="s">
        <v>312</v>
      </c>
      <c r="C17" s="20" t="s">
        <v>392</v>
      </c>
      <c r="D17" s="20" t="s">
        <v>291</v>
      </c>
      <c r="E17" s="22" t="n">
        <v>0.819</v>
      </c>
      <c r="F17" s="22" t="n">
        <v>0.758999999999998</v>
      </c>
      <c r="G17" s="21" t="n">
        <f aca="false">E17*F17</f>
        <v>0.621620999999998</v>
      </c>
      <c r="H17" s="20" t="s">
        <v>765</v>
      </c>
      <c r="I17" s="20" t="s">
        <v>340</v>
      </c>
      <c r="J17" s="20" t="s">
        <v>101</v>
      </c>
      <c r="K17" s="20" t="s">
        <v>115</v>
      </c>
    </row>
    <row r="18" customFormat="false" ht="15" hidden="false" customHeight="false" outlineLevel="0" collapsed="false">
      <c r="A18" s="20" t="s">
        <v>400</v>
      </c>
      <c r="B18" s="20" t="s">
        <v>312</v>
      </c>
      <c r="C18" s="20" t="s">
        <v>392</v>
      </c>
      <c r="D18" s="20" t="s">
        <v>291</v>
      </c>
      <c r="E18" s="22" t="n">
        <v>0.819</v>
      </c>
      <c r="F18" s="22" t="n">
        <v>0.758999999999998</v>
      </c>
      <c r="G18" s="21" t="n">
        <f aca="false">E18*F18</f>
        <v>0.621620999999998</v>
      </c>
      <c r="H18" s="20" t="s">
        <v>765</v>
      </c>
      <c r="I18" s="20" t="s">
        <v>340</v>
      </c>
      <c r="J18" s="20" t="s">
        <v>101</v>
      </c>
      <c r="K18" s="20" t="s">
        <v>115</v>
      </c>
    </row>
    <row r="19" customFormat="false" ht="15" hidden="false" customHeight="false" outlineLevel="0" collapsed="false">
      <c r="A19" s="20" t="s">
        <v>402</v>
      </c>
      <c r="B19" s="20" t="s">
        <v>312</v>
      </c>
      <c r="C19" s="20" t="s">
        <v>392</v>
      </c>
      <c r="D19" s="20" t="s">
        <v>291</v>
      </c>
      <c r="E19" s="22" t="n">
        <v>0.819</v>
      </c>
      <c r="F19" s="22" t="n">
        <v>0.758999999999999</v>
      </c>
      <c r="G19" s="21" t="n">
        <f aca="false">E19*F19</f>
        <v>0.621620999999999</v>
      </c>
      <c r="H19" s="20" t="s">
        <v>765</v>
      </c>
      <c r="I19" s="20" t="s">
        <v>340</v>
      </c>
      <c r="J19" s="20" t="s">
        <v>101</v>
      </c>
      <c r="K19" s="20" t="s">
        <v>115</v>
      </c>
    </row>
    <row r="20" customFormat="false" ht="15" hidden="false" customHeight="false" outlineLevel="0" collapsed="false">
      <c r="A20" s="20" t="s">
        <v>404</v>
      </c>
      <c r="B20" s="20" t="s">
        <v>312</v>
      </c>
      <c r="C20" s="20" t="s">
        <v>392</v>
      </c>
      <c r="D20" s="20" t="s">
        <v>291</v>
      </c>
      <c r="E20" s="22" t="n">
        <v>0.819</v>
      </c>
      <c r="F20" s="22" t="n">
        <v>0.758999999999998</v>
      </c>
      <c r="G20" s="21" t="n">
        <f aca="false">E20*F20</f>
        <v>0.621620999999998</v>
      </c>
      <c r="H20" s="20" t="s">
        <v>765</v>
      </c>
      <c r="I20" s="20" t="s">
        <v>340</v>
      </c>
      <c r="J20" s="20" t="s">
        <v>101</v>
      </c>
      <c r="K20" s="20" t="s">
        <v>115</v>
      </c>
    </row>
    <row r="21" customFormat="false" ht="15" hidden="false" customHeight="false" outlineLevel="0" collapsed="false">
      <c r="A21" s="20" t="s">
        <v>406</v>
      </c>
      <c r="B21" s="20" t="s">
        <v>312</v>
      </c>
      <c r="C21" s="20" t="s">
        <v>392</v>
      </c>
      <c r="D21" s="20" t="s">
        <v>291</v>
      </c>
      <c r="E21" s="22" t="n">
        <v>0.819</v>
      </c>
      <c r="F21" s="22" t="n">
        <v>0.758999999999999</v>
      </c>
      <c r="G21" s="21" t="n">
        <f aca="false">E21*F21</f>
        <v>0.621620999999998</v>
      </c>
      <c r="H21" s="20" t="s">
        <v>765</v>
      </c>
      <c r="I21" s="20" t="s">
        <v>340</v>
      </c>
      <c r="J21" s="20" t="s">
        <v>101</v>
      </c>
      <c r="K21" s="20" t="s">
        <v>115</v>
      </c>
    </row>
    <row r="22" customFormat="false" ht="15" hidden="false" customHeight="false" outlineLevel="0" collapsed="false">
      <c r="A22" s="20" t="s">
        <v>408</v>
      </c>
      <c r="B22" s="20" t="s">
        <v>312</v>
      </c>
      <c r="C22" s="20" t="s">
        <v>392</v>
      </c>
      <c r="D22" s="20" t="s">
        <v>291</v>
      </c>
      <c r="E22" s="22" t="n">
        <v>0.819</v>
      </c>
      <c r="F22" s="22" t="n">
        <v>0.759000000000001</v>
      </c>
      <c r="G22" s="21" t="n">
        <f aca="false">E22*F22</f>
        <v>0.621621000000001</v>
      </c>
      <c r="H22" s="20" t="s">
        <v>765</v>
      </c>
      <c r="I22" s="20" t="s">
        <v>340</v>
      </c>
      <c r="J22" s="20" t="s">
        <v>101</v>
      </c>
      <c r="K22" s="20" t="s">
        <v>117</v>
      </c>
    </row>
    <row r="23" customFormat="false" ht="15" hidden="false" customHeight="false" outlineLevel="0" collapsed="false">
      <c r="A23" s="20" t="s">
        <v>411</v>
      </c>
      <c r="B23" s="20" t="s">
        <v>312</v>
      </c>
      <c r="C23" s="20" t="s">
        <v>392</v>
      </c>
      <c r="D23" s="20" t="s">
        <v>291</v>
      </c>
      <c r="E23" s="22" t="n">
        <v>0.819</v>
      </c>
      <c r="F23" s="22" t="n">
        <v>0.759000000000001</v>
      </c>
      <c r="G23" s="21" t="n">
        <f aca="false">E23*F23</f>
        <v>0.621621000000001</v>
      </c>
      <c r="H23" s="20" t="s">
        <v>765</v>
      </c>
      <c r="I23" s="20" t="s">
        <v>340</v>
      </c>
      <c r="J23" s="20" t="s">
        <v>101</v>
      </c>
      <c r="K23" s="20" t="s">
        <v>117</v>
      </c>
    </row>
    <row r="24" customFormat="false" ht="15" hidden="false" customHeight="false" outlineLevel="0" collapsed="false">
      <c r="A24" s="20" t="s">
        <v>413</v>
      </c>
      <c r="B24" s="20" t="s">
        <v>312</v>
      </c>
      <c r="C24" s="20" t="s">
        <v>392</v>
      </c>
      <c r="D24" s="20" t="s">
        <v>291</v>
      </c>
      <c r="E24" s="22" t="n">
        <v>0.819</v>
      </c>
      <c r="F24" s="22" t="n">
        <v>0.759000000000001</v>
      </c>
      <c r="G24" s="21" t="n">
        <f aca="false">E24*F24</f>
        <v>0.621621000000001</v>
      </c>
      <c r="H24" s="20" t="s">
        <v>765</v>
      </c>
      <c r="I24" s="20" t="s">
        <v>340</v>
      </c>
      <c r="J24" s="20" t="s">
        <v>101</v>
      </c>
      <c r="K24" s="20" t="s">
        <v>117</v>
      </c>
    </row>
    <row r="25" customFormat="false" ht="15" hidden="false" customHeight="false" outlineLevel="0" collapsed="false">
      <c r="A25" s="20" t="s">
        <v>415</v>
      </c>
      <c r="B25" s="20" t="s">
        <v>312</v>
      </c>
      <c r="C25" s="20" t="s">
        <v>392</v>
      </c>
      <c r="D25" s="20" t="s">
        <v>291</v>
      </c>
      <c r="E25" s="22" t="n">
        <v>0.819</v>
      </c>
      <c r="F25" s="22" t="n">
        <v>0.759000000000001</v>
      </c>
      <c r="G25" s="21" t="n">
        <f aca="false">E25*F25</f>
        <v>0.621621000000001</v>
      </c>
      <c r="H25" s="20" t="s">
        <v>765</v>
      </c>
      <c r="I25" s="20" t="s">
        <v>340</v>
      </c>
      <c r="J25" s="20" t="s">
        <v>101</v>
      </c>
      <c r="K25" s="20" t="s">
        <v>117</v>
      </c>
    </row>
    <row r="26" customFormat="false" ht="15" hidden="false" customHeight="false" outlineLevel="0" collapsed="false">
      <c r="A26" s="20" t="s">
        <v>417</v>
      </c>
      <c r="B26" s="20" t="s">
        <v>418</v>
      </c>
      <c r="C26" s="20" t="s">
        <v>420</v>
      </c>
      <c r="D26" s="20" t="s">
        <v>271</v>
      </c>
      <c r="E26" s="22" t="n">
        <v>1.25</v>
      </c>
      <c r="F26" s="22" t="n">
        <v>2.01</v>
      </c>
      <c r="G26" s="21" t="n">
        <f aca="false">E26*F26</f>
        <v>2.5125</v>
      </c>
      <c r="H26" s="20" t="s">
        <v>765</v>
      </c>
      <c r="I26" s="20" t="s">
        <v>340</v>
      </c>
      <c r="J26" s="20" t="s">
        <v>101</v>
      </c>
      <c r="K26" s="20" t="s">
        <v>119</v>
      </c>
    </row>
    <row r="27" customFormat="false" ht="15" hidden="false" customHeight="false" outlineLevel="0" collapsed="false">
      <c r="A27" s="20" t="s">
        <v>422</v>
      </c>
      <c r="B27" s="20" t="s">
        <v>418</v>
      </c>
      <c r="C27" s="20" t="s">
        <v>420</v>
      </c>
      <c r="D27" s="20" t="s">
        <v>271</v>
      </c>
      <c r="E27" s="22" t="n">
        <v>1.25</v>
      </c>
      <c r="F27" s="22" t="n">
        <v>2.01</v>
      </c>
      <c r="G27" s="21" t="n">
        <f aca="false">E27*F27</f>
        <v>2.5125</v>
      </c>
      <c r="H27" s="20" t="s">
        <v>765</v>
      </c>
      <c r="I27" s="20" t="s">
        <v>340</v>
      </c>
      <c r="J27" s="20" t="s">
        <v>101</v>
      </c>
      <c r="K27" s="20" t="s">
        <v>119</v>
      </c>
    </row>
    <row r="28" customFormat="false" ht="15" hidden="false" customHeight="false" outlineLevel="0" collapsed="false">
      <c r="A28" s="20" t="s">
        <v>424</v>
      </c>
      <c r="B28" s="20" t="s">
        <v>418</v>
      </c>
      <c r="C28" s="20" t="s">
        <v>426</v>
      </c>
      <c r="D28" s="20" t="s">
        <v>271</v>
      </c>
      <c r="E28" s="22" t="n">
        <v>0.813</v>
      </c>
      <c r="F28" s="22" t="n">
        <v>2.42</v>
      </c>
      <c r="G28" s="21" t="n">
        <f aca="false">E28*F28</f>
        <v>1.96746</v>
      </c>
      <c r="H28" s="20" t="s">
        <v>765</v>
      </c>
      <c r="I28" s="20" t="s">
        <v>340</v>
      </c>
      <c r="J28" s="20" t="s">
        <v>101</v>
      </c>
      <c r="K28" s="20" t="s">
        <v>121</v>
      </c>
    </row>
    <row r="29" customFormat="false" ht="15" hidden="false" customHeight="false" outlineLevel="0" collapsed="false">
      <c r="A29" s="20" t="s">
        <v>428</v>
      </c>
      <c r="B29" s="20" t="s">
        <v>418</v>
      </c>
      <c r="C29" s="20" t="s">
        <v>426</v>
      </c>
      <c r="D29" s="20" t="s">
        <v>271</v>
      </c>
      <c r="E29" s="22" t="n">
        <v>0.812999999999999</v>
      </c>
      <c r="F29" s="22" t="n">
        <v>2.42</v>
      </c>
      <c r="G29" s="21" t="n">
        <f aca="false">E29*F29</f>
        <v>1.96746</v>
      </c>
      <c r="H29" s="20" t="s">
        <v>765</v>
      </c>
      <c r="I29" s="20" t="s">
        <v>340</v>
      </c>
      <c r="J29" s="20" t="s">
        <v>101</v>
      </c>
      <c r="K29" s="20" t="s">
        <v>121</v>
      </c>
    </row>
    <row r="30" customFormat="false" ht="15" hidden="false" customHeight="false" outlineLevel="0" collapsed="false">
      <c r="A30" s="20" t="s">
        <v>515</v>
      </c>
      <c r="B30" s="20" t="s">
        <v>418</v>
      </c>
      <c r="C30" s="20" t="s">
        <v>516</v>
      </c>
      <c r="D30" s="20" t="s">
        <v>271</v>
      </c>
      <c r="E30" s="22" t="n">
        <v>0.761999999999999</v>
      </c>
      <c r="F30" s="22" t="n">
        <v>2.032</v>
      </c>
      <c r="G30" s="21" t="n">
        <f aca="false">E30*F30</f>
        <v>1.548384</v>
      </c>
      <c r="H30" s="20" t="s">
        <v>764</v>
      </c>
      <c r="I30" s="20" t="s">
        <v>444</v>
      </c>
      <c r="J30" s="20" t="s">
        <v>129</v>
      </c>
      <c r="K30" s="20" t="s">
        <v>140</v>
      </c>
    </row>
    <row r="31" customFormat="false" ht="15" hidden="false" customHeight="false" outlineLevel="0" collapsed="false">
      <c r="A31" s="20" t="s">
        <v>518</v>
      </c>
      <c r="B31" s="20" t="s">
        <v>418</v>
      </c>
      <c r="C31" s="20" t="s">
        <v>516</v>
      </c>
      <c r="D31" s="20" t="s">
        <v>271</v>
      </c>
      <c r="E31" s="22" t="n">
        <v>0.762</v>
      </c>
      <c r="F31" s="22" t="n">
        <v>2.032</v>
      </c>
      <c r="G31" s="21" t="n">
        <f aca="false">E31*F31</f>
        <v>1.548384</v>
      </c>
      <c r="H31" s="20" t="s">
        <v>764</v>
      </c>
      <c r="I31" s="20" t="s">
        <v>444</v>
      </c>
      <c r="J31" s="20" t="s">
        <v>129</v>
      </c>
      <c r="K31" s="20" t="s">
        <v>140</v>
      </c>
    </row>
    <row r="32" customFormat="false" ht="15" hidden="false" customHeight="false" outlineLevel="0" collapsed="false">
      <c r="A32" s="20" t="s">
        <v>520</v>
      </c>
      <c r="B32" s="20" t="s">
        <v>418</v>
      </c>
      <c r="C32" s="20" t="s">
        <v>516</v>
      </c>
      <c r="D32" s="20" t="s">
        <v>291</v>
      </c>
      <c r="E32" s="22" t="n">
        <v>0.762</v>
      </c>
      <c r="F32" s="22" t="n">
        <v>2.032</v>
      </c>
      <c r="G32" s="21" t="n">
        <f aca="false">E32*F32</f>
        <v>1.548384</v>
      </c>
      <c r="H32" s="20" t="s">
        <v>764</v>
      </c>
      <c r="I32" s="20" t="s">
        <v>444</v>
      </c>
      <c r="J32" s="20" t="s">
        <v>129</v>
      </c>
      <c r="K32" s="20" t="s">
        <v>140</v>
      </c>
    </row>
    <row r="33" customFormat="false" ht="15" hidden="false" customHeight="false" outlineLevel="0" collapsed="false">
      <c r="A33" s="20" t="s">
        <v>522</v>
      </c>
      <c r="B33" s="20" t="s">
        <v>418</v>
      </c>
      <c r="C33" s="20" t="s">
        <v>516</v>
      </c>
      <c r="D33" s="20" t="s">
        <v>291</v>
      </c>
      <c r="E33" s="22" t="n">
        <v>0.762</v>
      </c>
      <c r="F33" s="22" t="n">
        <v>2.032</v>
      </c>
      <c r="G33" s="21" t="n">
        <f aca="false">E33*F33</f>
        <v>1.548384</v>
      </c>
      <c r="H33" s="20" t="s">
        <v>764</v>
      </c>
      <c r="I33" s="20" t="s">
        <v>444</v>
      </c>
      <c r="J33" s="20" t="s">
        <v>129</v>
      </c>
      <c r="K33" s="20" t="s">
        <v>140</v>
      </c>
    </row>
    <row r="34" customFormat="false" ht="15" hidden="false" customHeight="false" outlineLevel="0" collapsed="false">
      <c r="A34" s="20" t="s">
        <v>524</v>
      </c>
      <c r="B34" s="20" t="s">
        <v>418</v>
      </c>
      <c r="C34" s="20" t="s">
        <v>525</v>
      </c>
      <c r="D34" s="20" t="s">
        <v>291</v>
      </c>
      <c r="E34" s="22" t="n">
        <v>0.864</v>
      </c>
      <c r="F34" s="22" t="n">
        <v>2.032</v>
      </c>
      <c r="G34" s="21" t="n">
        <f aca="false">E34*F34</f>
        <v>1.755648</v>
      </c>
      <c r="H34" s="20" t="s">
        <v>764</v>
      </c>
      <c r="I34" s="20" t="s">
        <v>444</v>
      </c>
      <c r="J34" s="20" t="s">
        <v>129</v>
      </c>
      <c r="K34" s="20" t="s">
        <v>142</v>
      </c>
    </row>
    <row r="35" customFormat="false" ht="15" hidden="false" customHeight="false" outlineLevel="0" collapsed="false">
      <c r="A35" s="20" t="s">
        <v>527</v>
      </c>
      <c r="B35" s="20" t="s">
        <v>418</v>
      </c>
      <c r="C35" s="20" t="s">
        <v>525</v>
      </c>
      <c r="D35" s="20" t="s">
        <v>291</v>
      </c>
      <c r="E35" s="22" t="n">
        <v>0.864</v>
      </c>
      <c r="F35" s="22" t="n">
        <v>2.032</v>
      </c>
      <c r="G35" s="21" t="n">
        <f aca="false">E35*F35</f>
        <v>1.755648</v>
      </c>
      <c r="H35" s="20" t="s">
        <v>764</v>
      </c>
      <c r="I35" s="20" t="s">
        <v>444</v>
      </c>
      <c r="J35" s="20" t="s">
        <v>129</v>
      </c>
      <c r="K35" s="20" t="s">
        <v>142</v>
      </c>
    </row>
    <row r="36" customFormat="false" ht="15" hidden="false" customHeight="false" outlineLevel="0" collapsed="false">
      <c r="A36" s="20" t="s">
        <v>529</v>
      </c>
      <c r="B36" s="20" t="s">
        <v>418</v>
      </c>
      <c r="C36" s="20" t="s">
        <v>525</v>
      </c>
      <c r="D36" s="20" t="s">
        <v>291</v>
      </c>
      <c r="E36" s="22" t="n">
        <v>0.864</v>
      </c>
      <c r="F36" s="22" t="n">
        <v>2.032</v>
      </c>
      <c r="G36" s="21" t="n">
        <f aca="false">E36*F36</f>
        <v>1.755648</v>
      </c>
      <c r="H36" s="20" t="s">
        <v>764</v>
      </c>
      <c r="I36" s="20" t="s">
        <v>444</v>
      </c>
      <c r="J36" s="20" t="s">
        <v>129</v>
      </c>
      <c r="K36" s="20" t="s">
        <v>142</v>
      </c>
    </row>
    <row r="37" customFormat="false" ht="15" hidden="false" customHeight="false" outlineLevel="0" collapsed="false">
      <c r="A37" s="20" t="s">
        <v>531</v>
      </c>
      <c r="B37" s="20" t="s">
        <v>418</v>
      </c>
      <c r="C37" s="20" t="s">
        <v>525</v>
      </c>
      <c r="D37" s="20" t="s">
        <v>291</v>
      </c>
      <c r="E37" s="22" t="n">
        <v>0.864</v>
      </c>
      <c r="F37" s="22" t="n">
        <v>2.032</v>
      </c>
      <c r="G37" s="21" t="n">
        <f aca="false">E37*F37</f>
        <v>1.755648</v>
      </c>
      <c r="H37" s="20" t="s">
        <v>764</v>
      </c>
      <c r="I37" s="20" t="s">
        <v>444</v>
      </c>
      <c r="J37" s="20" t="s">
        <v>129</v>
      </c>
      <c r="K37" s="20" t="s">
        <v>142</v>
      </c>
    </row>
    <row r="38" customFormat="false" ht="15" hidden="false" customHeight="false" outlineLevel="0" collapsed="false">
      <c r="A38" s="20" t="s">
        <v>533</v>
      </c>
      <c r="B38" s="20" t="s">
        <v>418</v>
      </c>
      <c r="C38" s="20" t="s">
        <v>525</v>
      </c>
      <c r="D38" s="20" t="s">
        <v>291</v>
      </c>
      <c r="E38" s="22" t="n">
        <v>0.863999999999999</v>
      </c>
      <c r="F38" s="22" t="n">
        <v>2.032</v>
      </c>
      <c r="G38" s="21" t="n">
        <f aca="false">E38*F38</f>
        <v>1.755648</v>
      </c>
      <c r="H38" s="20" t="s">
        <v>764</v>
      </c>
      <c r="I38" s="20" t="s">
        <v>444</v>
      </c>
      <c r="J38" s="20" t="s">
        <v>129</v>
      </c>
      <c r="K38" s="20" t="s">
        <v>142</v>
      </c>
    </row>
    <row r="39" customFormat="false" ht="15" hidden="false" customHeight="false" outlineLevel="0" collapsed="false">
      <c r="A39" s="20" t="s">
        <v>535</v>
      </c>
      <c r="B39" s="20" t="s">
        <v>418</v>
      </c>
      <c r="C39" s="20" t="s">
        <v>525</v>
      </c>
      <c r="D39" s="20" t="s">
        <v>291</v>
      </c>
      <c r="E39" s="22" t="n">
        <v>0.864</v>
      </c>
      <c r="F39" s="22" t="n">
        <v>2.032</v>
      </c>
      <c r="G39" s="21" t="n">
        <f aca="false">E39*F39</f>
        <v>1.755648</v>
      </c>
      <c r="H39" s="20" t="s">
        <v>764</v>
      </c>
      <c r="I39" s="20" t="s">
        <v>444</v>
      </c>
      <c r="J39" s="20" t="s">
        <v>129</v>
      </c>
      <c r="K39" s="2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11"/>
    <col collapsed="false" customWidth="true" hidden="false" outlineLevel="0" max="9" min="8" style="0" width="13"/>
    <col collapsed="false" customWidth="true" hidden="false" outlineLevel="0" max="11" min="11" style="0" width="46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766</v>
      </c>
    </row>
    <row r="2" customFormat="false" ht="15" hidden="false" customHeight="false" outlineLevel="0" collapsed="false">
      <c r="A2" s="4" t="s">
        <v>767</v>
      </c>
    </row>
    <row r="4" customFormat="false" ht="23.85" hidden="false" customHeight="false" outlineLevel="0" collapsed="false">
      <c r="A4" s="5" t="s">
        <v>213</v>
      </c>
      <c r="B4" s="5" t="s">
        <v>768</v>
      </c>
      <c r="C4" s="5" t="s">
        <v>769</v>
      </c>
      <c r="D4" s="5" t="s">
        <v>770</v>
      </c>
      <c r="E4" s="5" t="s">
        <v>771</v>
      </c>
      <c r="F4" s="5" t="s">
        <v>772</v>
      </c>
      <c r="G4" s="5" t="s">
        <v>773</v>
      </c>
      <c r="H4" s="5" t="s">
        <v>774</v>
      </c>
      <c r="I4" s="5" t="s">
        <v>775</v>
      </c>
      <c r="K4" s="27" t="s">
        <v>771</v>
      </c>
      <c r="L4" s="27" t="s">
        <v>776</v>
      </c>
    </row>
    <row r="5" customFormat="false" ht="15" hidden="false" customHeight="false" outlineLevel="0" collapsed="false">
      <c r="A5" s="20" t="s">
        <v>44</v>
      </c>
      <c r="B5" s="20" t="s">
        <v>251</v>
      </c>
      <c r="C5" s="20" t="s">
        <v>777</v>
      </c>
      <c r="D5" s="20" t="n">
        <v>1</v>
      </c>
      <c r="E5" s="20" t="s">
        <v>778</v>
      </c>
      <c r="F5" s="20" t="str">
        <f aca="false">INDEX($L$5:$L$21,MATCH(E5,$K$5:$K$21,0))</f>
        <v>Concrete - Cast In Situ</v>
      </c>
      <c r="G5" s="20" t="n">
        <v>417</v>
      </c>
      <c r="H5" s="21" t="n">
        <f aca="false">SUMIFS(Register!$I:$I,Register!$F:$F,A5)</f>
        <v>64.415</v>
      </c>
      <c r="I5" s="22" t="n">
        <f aca="false">H5*G5/1000</f>
        <v>26.861055</v>
      </c>
      <c r="K5" s="20" t="s">
        <v>779</v>
      </c>
      <c r="L5" s="28" t="s">
        <v>779</v>
      </c>
    </row>
    <row r="6" customFormat="false" ht="15" hidden="false" customHeight="false" outlineLevel="0" collapsed="false">
      <c r="A6" s="20" t="s">
        <v>47</v>
      </c>
      <c r="B6" s="20" t="s">
        <v>261</v>
      </c>
      <c r="C6" s="20" t="s">
        <v>777</v>
      </c>
      <c r="D6" s="20" t="n">
        <v>1</v>
      </c>
      <c r="E6" s="20" t="s">
        <v>778</v>
      </c>
      <c r="F6" s="20" t="str">
        <f aca="false">INDEX($L$5:$L$21,MATCH(E6,$K$5:$K$21,0))</f>
        <v>Concrete - Cast In Situ</v>
      </c>
      <c r="G6" s="20" t="n">
        <v>435</v>
      </c>
      <c r="H6" s="21" t="n">
        <f aca="false">SUMIFS(Register!$I:$I,Register!$F:$F,A6)</f>
        <v>12.483345</v>
      </c>
      <c r="I6" s="22" t="n">
        <f aca="false">H6*G6/1000</f>
        <v>5.43025507500001</v>
      </c>
      <c r="K6" s="20" t="s">
        <v>780</v>
      </c>
      <c r="L6" s="28" t="s">
        <v>778</v>
      </c>
    </row>
    <row r="7" customFormat="false" ht="15" hidden="false" customHeight="false" outlineLevel="0" collapsed="false">
      <c r="A7" s="20" t="s">
        <v>52</v>
      </c>
      <c r="B7" s="20" t="s">
        <v>270</v>
      </c>
      <c r="C7" s="20" t="s">
        <v>269</v>
      </c>
      <c r="D7" s="20" t="n">
        <v>1</v>
      </c>
      <c r="E7" s="20" t="s">
        <v>780</v>
      </c>
      <c r="F7" s="20" t="str">
        <f aca="false">INDEX($L$5:$L$21,MATCH(E7,$K$5:$K$21,0))</f>
        <v>Concrete - Cast In Situ</v>
      </c>
      <c r="G7" s="20" t="n">
        <v>127</v>
      </c>
      <c r="H7" s="21" t="n">
        <f aca="false">SUMIFS(Register!$I:$I,Register!$F:$F,A7)</f>
        <v>129.686356</v>
      </c>
      <c r="I7" s="22" t="n">
        <f aca="false">H7*G7/1000</f>
        <v>16.470167212</v>
      </c>
      <c r="K7" s="20" t="s">
        <v>778</v>
      </c>
      <c r="L7" s="28" t="s">
        <v>778</v>
      </c>
    </row>
    <row r="8" customFormat="false" ht="15" hidden="false" customHeight="false" outlineLevel="0" collapsed="false">
      <c r="A8" s="20" t="s">
        <v>73</v>
      </c>
      <c r="B8" s="20" t="s">
        <v>300</v>
      </c>
      <c r="C8" s="20" t="s">
        <v>269</v>
      </c>
      <c r="D8" s="20" t="n">
        <v>1</v>
      </c>
      <c r="E8" s="20" t="s">
        <v>781</v>
      </c>
      <c r="F8" s="20" t="str">
        <f aca="false">INDEX($L$5:$L$21,MATCH(E8,$K$5:$K$21,0))</f>
        <v>Wood - Sheathing - plywood</v>
      </c>
      <c r="G8" s="20" t="n">
        <v>19</v>
      </c>
      <c r="H8" s="21" t="n">
        <f aca="false">SUMIFS(Register!$I:$I,Register!$F:$F,A8)</f>
        <v>118.562765199999</v>
      </c>
      <c r="I8" s="22" t="n">
        <f aca="false">H8*G8/1000</f>
        <v>2.25269253879999</v>
      </c>
      <c r="K8" s="20" t="s">
        <v>782</v>
      </c>
      <c r="L8" s="28" t="s">
        <v>782</v>
      </c>
    </row>
    <row r="9" customFormat="false" ht="15" hidden="false" customHeight="false" outlineLevel="0" collapsed="false">
      <c r="A9" s="20" t="s">
        <v>73</v>
      </c>
      <c r="B9" s="20" t="s">
        <v>300</v>
      </c>
      <c r="C9" s="20" t="s">
        <v>269</v>
      </c>
      <c r="D9" s="20" t="n">
        <v>2</v>
      </c>
      <c r="E9" s="20" t="s">
        <v>783</v>
      </c>
      <c r="F9" s="20" t="str">
        <f aca="false">INDEX($L$5:$L$21,MATCH(E9,$K$5:$K$21,0))</f>
        <v>Wood - Dimensional Lumber</v>
      </c>
      <c r="G9" s="20" t="n">
        <v>286</v>
      </c>
      <c r="H9" s="21" t="n">
        <f aca="false">SUMIFS(Register!$I:$I,Register!$F:$F,A9)</f>
        <v>118.562765199999</v>
      </c>
      <c r="I9" s="22" t="n">
        <f aca="false">H9*G9/1000</f>
        <v>33.9089508471998</v>
      </c>
      <c r="K9" s="20" t="s">
        <v>784</v>
      </c>
      <c r="L9" s="28" t="s">
        <v>784</v>
      </c>
    </row>
    <row r="10" customFormat="false" ht="15" hidden="false" customHeight="false" outlineLevel="0" collapsed="false">
      <c r="A10" s="20" t="s">
        <v>79</v>
      </c>
      <c r="B10" s="20" t="s">
        <v>307</v>
      </c>
      <c r="C10" s="20" t="s">
        <v>308</v>
      </c>
      <c r="D10" s="20" t="n">
        <v>1</v>
      </c>
      <c r="E10" s="20" t="s">
        <v>785</v>
      </c>
      <c r="F10" s="20" t="str">
        <f aca="false">INDEX($L$5:$L$21,MATCH(E10,$K$5:$K$21,0))</f>
        <v>Site - Grass</v>
      </c>
      <c r="G10" s="20" t="n">
        <v>64</v>
      </c>
      <c r="H10" s="21" t="n">
        <f aca="false">SUMIFS(Register!$I:$I,Register!$F:$F,A10)</f>
        <v>132.92603598</v>
      </c>
      <c r="I10" s="22" t="n">
        <f aca="false">H10*G10/1000</f>
        <v>8.50726630271998</v>
      </c>
      <c r="K10" s="20" t="s">
        <v>786</v>
      </c>
      <c r="L10" s="28" t="s">
        <v>786</v>
      </c>
    </row>
    <row r="11" customFormat="false" ht="15" hidden="false" customHeight="false" outlineLevel="0" collapsed="false">
      <c r="A11" s="20" t="s">
        <v>79</v>
      </c>
      <c r="B11" s="20" t="s">
        <v>307</v>
      </c>
      <c r="C11" s="20" t="s">
        <v>308</v>
      </c>
      <c r="D11" s="20" t="n">
        <v>2</v>
      </c>
      <c r="E11" s="20" t="s">
        <v>787</v>
      </c>
      <c r="F11" s="20" t="str">
        <f aca="false">INDEX($L$5:$L$21,MATCH(E11,$K$5:$K$21,0))</f>
        <v>Roofing - Barrier</v>
      </c>
      <c r="G11" s="20" t="n">
        <v>6</v>
      </c>
      <c r="H11" s="21" t="n">
        <f aca="false">SUMIFS(Register!$I:$I,Register!$F:$F,A11)</f>
        <v>132.92603598</v>
      </c>
      <c r="I11" s="22" t="n">
        <f aca="false">H11*G11/1000</f>
        <v>0.797556215879998</v>
      </c>
      <c r="K11" s="20" t="s">
        <v>788</v>
      </c>
      <c r="L11" s="28" t="s">
        <v>788</v>
      </c>
    </row>
    <row r="12" customFormat="false" ht="15" hidden="false" customHeight="false" outlineLevel="0" collapsed="false">
      <c r="A12" s="20" t="s">
        <v>79</v>
      </c>
      <c r="B12" s="20" t="s">
        <v>307</v>
      </c>
      <c r="C12" s="20" t="s">
        <v>308</v>
      </c>
      <c r="D12" s="20" t="n">
        <v>3</v>
      </c>
      <c r="E12" s="20" t="s">
        <v>789</v>
      </c>
      <c r="F12" s="20" t="str">
        <f aca="false">INDEX($L$5:$L$21,MATCH(E12,$K$5:$K$21,0))</f>
        <v>Roofing - EPDM Membrane</v>
      </c>
      <c r="G12" s="20" t="n">
        <v>6</v>
      </c>
      <c r="H12" s="21" t="n">
        <f aca="false">SUMIFS(Register!$I:$I,Register!$F:$F,A12)</f>
        <v>132.92603598</v>
      </c>
      <c r="I12" s="22" t="n">
        <f aca="false">H12*G12/1000</f>
        <v>0.797556215879998</v>
      </c>
      <c r="K12" s="20" t="s">
        <v>790</v>
      </c>
      <c r="L12" s="28" t="s">
        <v>790</v>
      </c>
    </row>
    <row r="13" customFormat="false" ht="15" hidden="false" customHeight="false" outlineLevel="0" collapsed="false">
      <c r="A13" s="20" t="s">
        <v>79</v>
      </c>
      <c r="B13" s="20" t="s">
        <v>307</v>
      </c>
      <c r="C13" s="20" t="s">
        <v>308</v>
      </c>
      <c r="D13" s="20" t="n">
        <v>4</v>
      </c>
      <c r="E13" s="20" t="s">
        <v>782</v>
      </c>
      <c r="F13" s="20" t="str">
        <f aca="false">INDEX($L$5:$L$21,MATCH(E13,$K$5:$K$21,0))</f>
        <v>Insulation / Thermal Barriers - Rigid insulation</v>
      </c>
      <c r="G13" s="20" t="n">
        <v>76</v>
      </c>
      <c r="H13" s="21" t="n">
        <f aca="false">SUMIFS(Register!$I:$I,Register!$F:$F,A13)</f>
        <v>132.92603598</v>
      </c>
      <c r="I13" s="22" t="n">
        <f aca="false">H13*G13/1000</f>
        <v>10.10237873448</v>
      </c>
      <c r="K13" s="20" t="s">
        <v>791</v>
      </c>
      <c r="L13" s="28" t="s">
        <v>791</v>
      </c>
    </row>
    <row r="14" customFormat="false" ht="15" hidden="false" customHeight="false" outlineLevel="0" collapsed="false">
      <c r="A14" s="20" t="s">
        <v>79</v>
      </c>
      <c r="B14" s="20" t="s">
        <v>307</v>
      </c>
      <c r="C14" s="20" t="s">
        <v>308</v>
      </c>
      <c r="D14" s="20" t="n">
        <v>5</v>
      </c>
      <c r="E14" s="20" t="s">
        <v>781</v>
      </c>
      <c r="F14" s="20" t="str">
        <f aca="false">INDEX($L$5:$L$21,MATCH(E14,$K$5:$K$21,0))</f>
        <v>Wood - Sheathing - plywood</v>
      </c>
      <c r="G14" s="20" t="n">
        <v>19</v>
      </c>
      <c r="H14" s="21" t="n">
        <f aca="false">SUMIFS(Register!$I:$I,Register!$F:$F,A14)</f>
        <v>132.92603598</v>
      </c>
      <c r="I14" s="22" t="n">
        <f aca="false">H14*G14/1000</f>
        <v>2.52559468361999</v>
      </c>
      <c r="K14" s="20" t="s">
        <v>792</v>
      </c>
      <c r="L14" s="28" t="s">
        <v>792</v>
      </c>
    </row>
    <row r="15" customFormat="false" ht="15" hidden="false" customHeight="false" outlineLevel="0" collapsed="false">
      <c r="A15" s="20" t="s">
        <v>79</v>
      </c>
      <c r="B15" s="20" t="s">
        <v>307</v>
      </c>
      <c r="C15" s="20" t="s">
        <v>308</v>
      </c>
      <c r="D15" s="20" t="n">
        <v>6</v>
      </c>
      <c r="E15" s="20" t="s">
        <v>783</v>
      </c>
      <c r="F15" s="20" t="str">
        <f aca="false">INDEX($L$5:$L$21,MATCH(E15,$K$5:$K$21,0))</f>
        <v>Wood - Dimensional Lumber</v>
      </c>
      <c r="G15" s="20" t="n">
        <v>286</v>
      </c>
      <c r="H15" s="21" t="n">
        <f aca="false">SUMIFS(Register!$I:$I,Register!$F:$F,A15)</f>
        <v>132.92603598</v>
      </c>
      <c r="I15" s="22" t="n">
        <f aca="false">H15*G15/1000</f>
        <v>38.0168462902799</v>
      </c>
      <c r="K15" s="20" t="s">
        <v>793</v>
      </c>
      <c r="L15" s="28" t="s">
        <v>793</v>
      </c>
    </row>
    <row r="16" customFormat="false" ht="15" hidden="false" customHeight="false" outlineLevel="0" collapsed="false">
      <c r="A16" s="20" t="s">
        <v>101</v>
      </c>
      <c r="B16" s="20" t="s">
        <v>340</v>
      </c>
      <c r="C16" s="20" t="s">
        <v>777</v>
      </c>
      <c r="D16" s="20" t="n">
        <v>1</v>
      </c>
      <c r="E16" s="20" t="s">
        <v>786</v>
      </c>
      <c r="F16" s="20" t="str">
        <f aca="false">INDEX($L$5:$L$21,MATCH(E16,$K$5:$K$21,0))</f>
        <v>Masonry - Brick</v>
      </c>
      <c r="G16" s="20" t="n">
        <v>92</v>
      </c>
      <c r="H16" s="21" t="n">
        <f aca="false">SUMIFS(Register!$I:$I,Register!$F:$F,A16)</f>
        <v>235.779228000011</v>
      </c>
      <c r="I16" s="22" t="n">
        <f aca="false">H16*G16/1000</f>
        <v>21.691688976001</v>
      </c>
      <c r="K16" s="20" t="s">
        <v>787</v>
      </c>
      <c r="L16" s="28" t="s">
        <v>787</v>
      </c>
    </row>
    <row r="17" customFormat="false" ht="15" hidden="false" customHeight="false" outlineLevel="0" collapsed="false">
      <c r="A17" s="20" t="s">
        <v>101</v>
      </c>
      <c r="B17" s="20" t="s">
        <v>340</v>
      </c>
      <c r="C17" s="20" t="s">
        <v>777</v>
      </c>
      <c r="D17" s="20" t="n">
        <v>2</v>
      </c>
      <c r="E17" s="20" t="s">
        <v>792</v>
      </c>
      <c r="F17" s="20" t="str">
        <f aca="false">INDEX($L$5:$L$21,MATCH(E17,$K$5:$K$21,0))</f>
        <v>Misc. Air Layers - Air Space</v>
      </c>
      <c r="G17" s="20" t="n">
        <v>25</v>
      </c>
      <c r="H17" s="21" t="n">
        <f aca="false">SUMIFS(Register!$I:$I,Register!$F:$F,A17)</f>
        <v>235.779228000011</v>
      </c>
      <c r="I17" s="22" t="n">
        <f aca="false">H17*G17/1000</f>
        <v>5.89448070000026</v>
      </c>
      <c r="K17" s="20" t="s">
        <v>789</v>
      </c>
      <c r="L17" s="28" t="s">
        <v>789</v>
      </c>
    </row>
    <row r="18" customFormat="false" ht="15" hidden="false" customHeight="false" outlineLevel="0" collapsed="false">
      <c r="A18" s="20" t="s">
        <v>101</v>
      </c>
      <c r="B18" s="20" t="s">
        <v>340</v>
      </c>
      <c r="C18" s="20" t="s">
        <v>777</v>
      </c>
      <c r="D18" s="20" t="n">
        <v>3</v>
      </c>
      <c r="E18" s="20" t="s">
        <v>782</v>
      </c>
      <c r="F18" s="20" t="str">
        <f aca="false">INDEX($L$5:$L$21,MATCH(E18,$K$5:$K$21,0))</f>
        <v>Insulation / Thermal Barriers - Rigid insulation</v>
      </c>
      <c r="G18" s="20" t="n">
        <v>50</v>
      </c>
      <c r="H18" s="21" t="n">
        <f aca="false">SUMIFS(Register!$I:$I,Register!$F:$F,A18)</f>
        <v>235.779228000011</v>
      </c>
      <c r="I18" s="22" t="n">
        <f aca="false">H18*G18/1000</f>
        <v>11.7889614000005</v>
      </c>
      <c r="K18" s="20" t="s">
        <v>785</v>
      </c>
      <c r="L18" s="28" t="s">
        <v>785</v>
      </c>
    </row>
    <row r="19" customFormat="false" ht="15" hidden="false" customHeight="false" outlineLevel="0" collapsed="false">
      <c r="A19" s="20" t="s">
        <v>101</v>
      </c>
      <c r="B19" s="20" t="s">
        <v>340</v>
      </c>
      <c r="C19" s="20" t="s">
        <v>777</v>
      </c>
      <c r="D19" s="20" t="n">
        <v>4</v>
      </c>
      <c r="E19" s="20" t="s">
        <v>788</v>
      </c>
      <c r="F19" s="20" t="str">
        <f aca="false">INDEX($L$5:$L$21,MATCH(E19,$K$5:$K$21,0))</f>
        <v>Masonry - Concrete Block</v>
      </c>
      <c r="G19" s="20" t="n">
        <v>193</v>
      </c>
      <c r="H19" s="21" t="n">
        <f aca="false">SUMIFS(Register!$I:$I,Register!$F:$F,A19)</f>
        <v>235.779228000011</v>
      </c>
      <c r="I19" s="22" t="n">
        <f aca="false">H19*G19/1000</f>
        <v>45.505391004002</v>
      </c>
      <c r="K19" s="20" t="s">
        <v>783</v>
      </c>
      <c r="L19" s="28" t="s">
        <v>783</v>
      </c>
    </row>
    <row r="20" customFormat="false" ht="15" hidden="false" customHeight="false" outlineLevel="0" collapsed="false">
      <c r="A20" s="20" t="s">
        <v>101</v>
      </c>
      <c r="B20" s="20" t="s">
        <v>340</v>
      </c>
      <c r="C20" s="20" t="s">
        <v>777</v>
      </c>
      <c r="D20" s="20" t="n">
        <v>5</v>
      </c>
      <c r="E20" s="20" t="s">
        <v>791</v>
      </c>
      <c r="F20" s="20" t="str">
        <f aca="false">INDEX($L$5:$L$21,MATCH(E20,$K$5:$K$21,0))</f>
        <v>Metal - Stud Layer</v>
      </c>
      <c r="G20" s="20" t="n">
        <v>41</v>
      </c>
      <c r="H20" s="21" t="n">
        <f aca="false">SUMIFS(Register!$I:$I,Register!$F:$F,A20)</f>
        <v>235.779228000011</v>
      </c>
      <c r="I20" s="22" t="n">
        <f aca="false">H20*G20/1000</f>
        <v>9.66694834800043</v>
      </c>
      <c r="K20" s="20" t="s">
        <v>794</v>
      </c>
      <c r="L20" s="28" t="s">
        <v>794</v>
      </c>
    </row>
    <row r="21" customFormat="false" ht="15" hidden="false" customHeight="false" outlineLevel="0" collapsed="false">
      <c r="A21" s="20" t="s">
        <v>101</v>
      </c>
      <c r="B21" s="20" t="s">
        <v>340</v>
      </c>
      <c r="C21" s="20" t="s">
        <v>777</v>
      </c>
      <c r="D21" s="20" t="n">
        <v>6</v>
      </c>
      <c r="E21" s="20" t="s">
        <v>793</v>
      </c>
      <c r="F21" s="20" t="str">
        <f aca="false">INDEX($L$5:$L$21,MATCH(E21,$K$5:$K$21,0))</f>
        <v>Plasterboard</v>
      </c>
      <c r="G21" s="20" t="n">
        <v>16</v>
      </c>
      <c r="H21" s="21" t="n">
        <f aca="false">SUMIFS(Register!$I:$I,Register!$F:$F,A21)</f>
        <v>235.779228000011</v>
      </c>
      <c r="I21" s="22" t="n">
        <f aca="false">H21*G21/1000</f>
        <v>3.77246764800017</v>
      </c>
      <c r="K21" s="20" t="s">
        <v>781</v>
      </c>
      <c r="L21" s="28" t="s">
        <v>781</v>
      </c>
    </row>
    <row r="22" customFormat="false" ht="15" hidden="false" customHeight="false" outlineLevel="0" collapsed="false">
      <c r="A22" s="20" t="s">
        <v>104</v>
      </c>
      <c r="B22" s="20" t="s">
        <v>340</v>
      </c>
      <c r="C22" s="20" t="s">
        <v>777</v>
      </c>
      <c r="D22" s="20" t="n">
        <v>1</v>
      </c>
      <c r="E22" s="20" t="s">
        <v>786</v>
      </c>
      <c r="F22" s="20" t="str">
        <f aca="false">INDEX($L$5:$L$21,MATCH(E22,$K$5:$K$21,0))</f>
        <v>Masonry - Brick</v>
      </c>
      <c r="G22" s="20" t="n">
        <v>92</v>
      </c>
      <c r="H22" s="21" t="n">
        <f aca="false">SUMIFS(Register!$I:$I,Register!$F:$F,A22)</f>
        <v>31.382988</v>
      </c>
      <c r="I22" s="22" t="n">
        <f aca="false">H22*G22/1000</f>
        <v>2.887234896</v>
      </c>
    </row>
    <row r="23" customFormat="false" ht="15" hidden="false" customHeight="false" outlineLevel="0" collapsed="false">
      <c r="A23" s="20" t="s">
        <v>104</v>
      </c>
      <c r="B23" s="20" t="s">
        <v>340</v>
      </c>
      <c r="C23" s="20" t="s">
        <v>777</v>
      </c>
      <c r="D23" s="20" t="n">
        <v>2</v>
      </c>
      <c r="E23" s="20" t="s">
        <v>792</v>
      </c>
      <c r="F23" s="20" t="str">
        <f aca="false">INDEX($L$5:$L$21,MATCH(E23,$K$5:$K$21,0))</f>
        <v>Misc. Air Layers - Air Space</v>
      </c>
      <c r="G23" s="20" t="n">
        <v>25</v>
      </c>
      <c r="H23" s="21" t="n">
        <f aca="false">SUMIFS(Register!$I:$I,Register!$F:$F,A23)</f>
        <v>31.382988</v>
      </c>
      <c r="I23" s="22" t="n">
        <f aca="false">H23*G23/1000</f>
        <v>0.784574699999999</v>
      </c>
    </row>
    <row r="24" customFormat="false" ht="15" hidden="false" customHeight="false" outlineLevel="0" collapsed="false">
      <c r="A24" s="20" t="s">
        <v>104</v>
      </c>
      <c r="B24" s="20" t="s">
        <v>340</v>
      </c>
      <c r="C24" s="20" t="s">
        <v>777</v>
      </c>
      <c r="D24" s="20" t="n">
        <v>3</v>
      </c>
      <c r="E24" s="20" t="s">
        <v>782</v>
      </c>
      <c r="F24" s="20" t="str">
        <f aca="false">INDEX($L$5:$L$21,MATCH(E24,$K$5:$K$21,0))</f>
        <v>Insulation / Thermal Barriers - Rigid insulation</v>
      </c>
      <c r="G24" s="20" t="n">
        <v>50</v>
      </c>
      <c r="H24" s="21" t="n">
        <f aca="false">SUMIFS(Register!$I:$I,Register!$F:$F,A24)</f>
        <v>31.382988</v>
      </c>
      <c r="I24" s="22" t="n">
        <f aca="false">H24*G24/1000</f>
        <v>1.5691494</v>
      </c>
    </row>
    <row r="25" customFormat="false" ht="15" hidden="false" customHeight="false" outlineLevel="0" collapsed="false">
      <c r="A25" s="20" t="s">
        <v>104</v>
      </c>
      <c r="B25" s="20" t="s">
        <v>340</v>
      </c>
      <c r="C25" s="20" t="s">
        <v>777</v>
      </c>
      <c r="D25" s="20" t="n">
        <v>4</v>
      </c>
      <c r="E25" s="20" t="s">
        <v>788</v>
      </c>
      <c r="F25" s="20" t="str">
        <f aca="false">INDEX($L$5:$L$21,MATCH(E25,$K$5:$K$21,0))</f>
        <v>Masonry - Concrete Block</v>
      </c>
      <c r="G25" s="20" t="n">
        <v>193</v>
      </c>
      <c r="H25" s="21" t="n">
        <f aca="false">SUMIFS(Register!$I:$I,Register!$F:$F,A25)</f>
        <v>31.382988</v>
      </c>
      <c r="I25" s="22" t="n">
        <f aca="false">H25*G25/1000</f>
        <v>6.056916684</v>
      </c>
    </row>
    <row r="26" customFormat="false" ht="15" hidden="false" customHeight="false" outlineLevel="0" collapsed="false">
      <c r="A26" s="20" t="s">
        <v>104</v>
      </c>
      <c r="B26" s="20" t="s">
        <v>340</v>
      </c>
      <c r="C26" s="20" t="s">
        <v>777</v>
      </c>
      <c r="D26" s="20" t="n">
        <v>5</v>
      </c>
      <c r="E26" s="20" t="s">
        <v>791</v>
      </c>
      <c r="F26" s="20" t="str">
        <f aca="false">INDEX($L$5:$L$21,MATCH(E26,$K$5:$K$21,0))</f>
        <v>Metal - Stud Layer</v>
      </c>
      <c r="G26" s="20" t="n">
        <v>41</v>
      </c>
      <c r="H26" s="21" t="n">
        <f aca="false">SUMIFS(Register!$I:$I,Register!$F:$F,A26)</f>
        <v>31.382988</v>
      </c>
      <c r="I26" s="22" t="n">
        <f aca="false">H26*G26/1000</f>
        <v>1.286702508</v>
      </c>
    </row>
    <row r="27" customFormat="false" ht="15" hidden="false" customHeight="false" outlineLevel="0" collapsed="false">
      <c r="A27" s="20" t="s">
        <v>104</v>
      </c>
      <c r="B27" s="20" t="s">
        <v>340</v>
      </c>
      <c r="C27" s="20" t="s">
        <v>777</v>
      </c>
      <c r="D27" s="20" t="n">
        <v>6</v>
      </c>
      <c r="E27" s="20" t="s">
        <v>793</v>
      </c>
      <c r="F27" s="20" t="str">
        <f aca="false">INDEX($L$5:$L$21,MATCH(E27,$K$5:$K$21,0))</f>
        <v>Plasterboard</v>
      </c>
      <c r="G27" s="20" t="n">
        <v>16</v>
      </c>
      <c r="H27" s="21" t="n">
        <f aca="false">SUMIFS(Register!$I:$I,Register!$F:$F,A27)</f>
        <v>31.382988</v>
      </c>
      <c r="I27" s="22" t="n">
        <f aca="false">H27*G27/1000</f>
        <v>0.502127808</v>
      </c>
    </row>
    <row r="28" customFormat="false" ht="15" hidden="false" customHeight="false" outlineLevel="0" collapsed="false">
      <c r="A28" s="20" t="s">
        <v>126</v>
      </c>
      <c r="B28" s="20" t="s">
        <v>431</v>
      </c>
      <c r="C28" s="20" t="s">
        <v>777</v>
      </c>
      <c r="D28" s="20" t="n">
        <v>1</v>
      </c>
      <c r="E28" s="20" t="s">
        <v>793</v>
      </c>
      <c r="F28" s="20" t="str">
        <f aca="false">INDEX($L$5:$L$21,MATCH(E28,$K$5:$K$21,0))</f>
        <v>Plasterboard</v>
      </c>
      <c r="G28" s="20" t="n">
        <v>16</v>
      </c>
      <c r="H28" s="21" t="n">
        <f aca="false">SUMIFS(Register!$I:$I,Register!$F:$F,A28)</f>
        <v>71.6695455818202</v>
      </c>
      <c r="I28" s="22" t="n">
        <f aca="false">H28*G28/1000</f>
        <v>1.14671272930912</v>
      </c>
    </row>
    <row r="29" customFormat="false" ht="15" hidden="false" customHeight="false" outlineLevel="0" collapsed="false">
      <c r="A29" s="20" t="s">
        <v>126</v>
      </c>
      <c r="B29" s="20" t="s">
        <v>431</v>
      </c>
      <c r="C29" s="20" t="s">
        <v>777</v>
      </c>
      <c r="D29" s="20" t="n">
        <v>2</v>
      </c>
      <c r="E29" s="20" t="s">
        <v>791</v>
      </c>
      <c r="F29" s="20" t="str">
        <f aca="false">INDEX($L$5:$L$21,MATCH(E29,$K$5:$K$21,0))</f>
        <v>Metal - Stud Layer</v>
      </c>
      <c r="G29" s="20" t="n">
        <v>41</v>
      </c>
      <c r="H29" s="21" t="n">
        <f aca="false">SUMIFS(Register!$I:$I,Register!$F:$F,A29)</f>
        <v>71.6695455818202</v>
      </c>
      <c r="I29" s="22" t="n">
        <f aca="false">H29*G29/1000</f>
        <v>2.93845136885463</v>
      </c>
    </row>
    <row r="30" customFormat="false" ht="15" hidden="false" customHeight="false" outlineLevel="0" collapsed="false">
      <c r="A30" s="20" t="s">
        <v>126</v>
      </c>
      <c r="B30" s="20" t="s">
        <v>431</v>
      </c>
      <c r="C30" s="20" t="s">
        <v>777</v>
      </c>
      <c r="D30" s="20" t="n">
        <v>3</v>
      </c>
      <c r="E30" s="20" t="s">
        <v>788</v>
      </c>
      <c r="F30" s="20" t="str">
        <f aca="false">INDEX($L$5:$L$21,MATCH(E30,$K$5:$K$21,0))</f>
        <v>Masonry - Concrete Block</v>
      </c>
      <c r="G30" s="20" t="n">
        <v>193</v>
      </c>
      <c r="H30" s="21" t="n">
        <f aca="false">SUMIFS(Register!$I:$I,Register!$F:$F,A30)</f>
        <v>71.6695455818202</v>
      </c>
      <c r="I30" s="22" t="n">
        <f aca="false">H30*G30/1000</f>
        <v>13.8322222972913</v>
      </c>
    </row>
    <row r="31" customFormat="false" ht="15" hidden="false" customHeight="false" outlineLevel="0" collapsed="false">
      <c r="A31" s="20" t="s">
        <v>126</v>
      </c>
      <c r="B31" s="20" t="s">
        <v>431</v>
      </c>
      <c r="C31" s="20" t="s">
        <v>777</v>
      </c>
      <c r="D31" s="20" t="n">
        <v>4</v>
      </c>
      <c r="E31" s="20" t="s">
        <v>792</v>
      </c>
      <c r="F31" s="20" t="str">
        <f aca="false">INDEX($L$5:$L$21,MATCH(E31,$K$5:$K$21,0))</f>
        <v>Misc. Air Layers - Air Space</v>
      </c>
      <c r="G31" s="20" t="n">
        <v>50</v>
      </c>
      <c r="H31" s="21" t="n">
        <f aca="false">SUMIFS(Register!$I:$I,Register!$F:$F,A31)</f>
        <v>71.6695455818202</v>
      </c>
      <c r="I31" s="22" t="n">
        <f aca="false">H31*G31/1000</f>
        <v>3.58347727909101</v>
      </c>
    </row>
    <row r="32" customFormat="false" ht="15" hidden="false" customHeight="false" outlineLevel="0" collapsed="false">
      <c r="A32" s="20" t="s">
        <v>126</v>
      </c>
      <c r="B32" s="20" t="s">
        <v>431</v>
      </c>
      <c r="C32" s="20" t="s">
        <v>777</v>
      </c>
      <c r="D32" s="20" t="n">
        <v>5</v>
      </c>
      <c r="E32" s="20" t="s">
        <v>788</v>
      </c>
      <c r="F32" s="20" t="str">
        <f aca="false">INDEX($L$5:$L$21,MATCH(E32,$K$5:$K$21,0))</f>
        <v>Masonry - Concrete Block</v>
      </c>
      <c r="G32" s="20" t="n">
        <v>193</v>
      </c>
      <c r="H32" s="21" t="n">
        <f aca="false">SUMIFS(Register!$I:$I,Register!$F:$F,A32)</f>
        <v>71.6695455818202</v>
      </c>
      <c r="I32" s="22" t="n">
        <f aca="false">H32*G32/1000</f>
        <v>13.8322222972913</v>
      </c>
    </row>
    <row r="33" customFormat="false" ht="15" hidden="false" customHeight="false" outlineLevel="0" collapsed="false">
      <c r="A33" s="20" t="s">
        <v>126</v>
      </c>
      <c r="B33" s="20" t="s">
        <v>431</v>
      </c>
      <c r="C33" s="20" t="s">
        <v>777</v>
      </c>
      <c r="D33" s="20" t="n">
        <v>6</v>
      </c>
      <c r="E33" s="20" t="s">
        <v>791</v>
      </c>
      <c r="F33" s="20" t="str">
        <f aca="false">INDEX($L$5:$L$21,MATCH(E33,$K$5:$K$21,0))</f>
        <v>Metal - Stud Layer</v>
      </c>
      <c r="G33" s="20" t="n">
        <v>41</v>
      </c>
      <c r="H33" s="21" t="n">
        <f aca="false">SUMIFS(Register!$I:$I,Register!$F:$F,A33)</f>
        <v>71.6695455818202</v>
      </c>
      <c r="I33" s="22" t="n">
        <f aca="false">H33*G33/1000</f>
        <v>2.93845136885463</v>
      </c>
    </row>
    <row r="34" customFormat="false" ht="15" hidden="false" customHeight="false" outlineLevel="0" collapsed="false">
      <c r="A34" s="20" t="s">
        <v>126</v>
      </c>
      <c r="B34" s="20" t="s">
        <v>431</v>
      </c>
      <c r="C34" s="20" t="s">
        <v>777</v>
      </c>
      <c r="D34" s="20" t="n">
        <v>7</v>
      </c>
      <c r="E34" s="20" t="s">
        <v>793</v>
      </c>
      <c r="F34" s="20" t="str">
        <f aca="false">INDEX($L$5:$L$21,MATCH(E34,$K$5:$K$21,0))</f>
        <v>Plasterboard</v>
      </c>
      <c r="G34" s="20" t="n">
        <v>16</v>
      </c>
      <c r="H34" s="21" t="n">
        <f aca="false">SUMIFS(Register!$I:$I,Register!$F:$F,A34)</f>
        <v>71.6695455818202</v>
      </c>
      <c r="I34" s="22" t="n">
        <f aca="false">H34*G34/1000</f>
        <v>1.14671272930912</v>
      </c>
    </row>
    <row r="35" customFormat="false" ht="15" hidden="false" customHeight="false" outlineLevel="0" collapsed="false">
      <c r="A35" s="20" t="s">
        <v>129</v>
      </c>
      <c r="B35" s="20" t="s">
        <v>444</v>
      </c>
      <c r="C35" s="20" t="s">
        <v>777</v>
      </c>
      <c r="D35" s="20" t="n">
        <v>1</v>
      </c>
      <c r="E35" s="20" t="s">
        <v>793</v>
      </c>
      <c r="F35" s="20" t="str">
        <f aca="false">INDEX($L$5:$L$21,MATCH(E35,$K$5:$K$21,0))</f>
        <v>Plasterboard</v>
      </c>
      <c r="G35" s="20" t="n">
        <v>16</v>
      </c>
      <c r="H35" s="21" t="n">
        <f aca="false">SUMIFS(Register!$I:$I,Register!$F:$F,A35)</f>
        <v>106.395650000005</v>
      </c>
      <c r="I35" s="22" t="n">
        <f aca="false">H35*G35/1000</f>
        <v>1.70233040000008</v>
      </c>
    </row>
    <row r="36" customFormat="false" ht="15" hidden="false" customHeight="false" outlineLevel="0" collapsed="false">
      <c r="A36" s="20" t="s">
        <v>129</v>
      </c>
      <c r="B36" s="20" t="s">
        <v>444</v>
      </c>
      <c r="C36" s="20" t="s">
        <v>777</v>
      </c>
      <c r="D36" s="20" t="n">
        <v>2</v>
      </c>
      <c r="E36" s="20" t="s">
        <v>791</v>
      </c>
      <c r="F36" s="20" t="str">
        <f aca="false">INDEX($L$5:$L$21,MATCH(E36,$K$5:$K$21,0))</f>
        <v>Metal - Stud Layer</v>
      </c>
      <c r="G36" s="20" t="n">
        <v>92</v>
      </c>
      <c r="H36" s="21" t="n">
        <f aca="false">SUMIFS(Register!$I:$I,Register!$F:$F,A36)</f>
        <v>106.395650000005</v>
      </c>
      <c r="I36" s="22" t="n">
        <f aca="false">H36*G36/1000</f>
        <v>9.78839980000048</v>
      </c>
    </row>
    <row r="37" customFormat="false" ht="15" hidden="false" customHeight="false" outlineLevel="0" collapsed="false">
      <c r="A37" s="20" t="s">
        <v>129</v>
      </c>
      <c r="B37" s="20" t="s">
        <v>444</v>
      </c>
      <c r="C37" s="20" t="s">
        <v>777</v>
      </c>
      <c r="D37" s="20" t="n">
        <v>3</v>
      </c>
      <c r="E37" s="20" t="s">
        <v>793</v>
      </c>
      <c r="F37" s="20" t="str">
        <f aca="false">INDEX($L$5:$L$21,MATCH(E37,$K$5:$K$21,0))</f>
        <v>Plasterboard</v>
      </c>
      <c r="G37" s="20" t="n">
        <v>16</v>
      </c>
      <c r="H37" s="21" t="n">
        <f aca="false">SUMIFS(Register!$I:$I,Register!$F:$F,A37)</f>
        <v>106.395650000005</v>
      </c>
      <c r="I37" s="22" t="n">
        <f aca="false">H37*G37/1000</f>
        <v>1.70233040000008</v>
      </c>
    </row>
    <row r="38" customFormat="false" ht="15" hidden="false" customHeight="false" outlineLevel="0" collapsed="false">
      <c r="A38" s="20" t="s">
        <v>131</v>
      </c>
      <c r="B38" s="20" t="s">
        <v>481</v>
      </c>
      <c r="C38" s="20" t="s">
        <v>777</v>
      </c>
      <c r="D38" s="20" t="n">
        <v>1</v>
      </c>
      <c r="E38" s="20" t="s">
        <v>793</v>
      </c>
      <c r="F38" s="20" t="str">
        <f aca="false">INDEX($L$5:$L$21,MATCH(E38,$K$5:$K$21,0))</f>
        <v>Plasterboard</v>
      </c>
      <c r="G38" s="20" t="n">
        <v>16</v>
      </c>
      <c r="H38" s="21" t="n">
        <f aca="false">SUMIFS(Register!$I:$I,Register!$F:$F,A38)</f>
        <v>9.39020000000006</v>
      </c>
      <c r="I38" s="22" t="n">
        <f aca="false">H38*G38/1000</f>
        <v>0.150243200000001</v>
      </c>
    </row>
    <row r="39" customFormat="false" ht="15" hidden="false" customHeight="false" outlineLevel="0" collapsed="false">
      <c r="A39" s="20" t="s">
        <v>131</v>
      </c>
      <c r="B39" s="20" t="s">
        <v>481</v>
      </c>
      <c r="C39" s="20" t="s">
        <v>777</v>
      </c>
      <c r="D39" s="20" t="n">
        <v>2</v>
      </c>
      <c r="E39" s="20" t="s">
        <v>791</v>
      </c>
      <c r="F39" s="20" t="str">
        <f aca="false">INDEX($L$5:$L$21,MATCH(E39,$K$5:$K$21,0))</f>
        <v>Metal - Stud Layer</v>
      </c>
      <c r="G39" s="20" t="n">
        <v>152</v>
      </c>
      <c r="H39" s="21" t="n">
        <f aca="false">SUMIFS(Register!$I:$I,Register!$F:$F,A39)</f>
        <v>9.39020000000006</v>
      </c>
      <c r="I39" s="22" t="n">
        <f aca="false">H39*G39/1000</f>
        <v>1.42731040000001</v>
      </c>
    </row>
    <row r="40" customFormat="false" ht="15" hidden="false" customHeight="false" outlineLevel="0" collapsed="false">
      <c r="A40" s="20" t="s">
        <v>131</v>
      </c>
      <c r="B40" s="20" t="s">
        <v>481</v>
      </c>
      <c r="C40" s="20" t="s">
        <v>777</v>
      </c>
      <c r="D40" s="20" t="n">
        <v>3</v>
      </c>
      <c r="E40" s="20" t="s">
        <v>793</v>
      </c>
      <c r="F40" s="20" t="str">
        <f aca="false">INDEX($L$5:$L$21,MATCH(E40,$K$5:$K$21,0))</f>
        <v>Plasterboard</v>
      </c>
      <c r="G40" s="20" t="n">
        <v>16</v>
      </c>
      <c r="H40" s="21" t="n">
        <f aca="false">SUMIFS(Register!$I:$I,Register!$F:$F,A40)</f>
        <v>9.39020000000006</v>
      </c>
      <c r="I40" s="22" t="n">
        <f aca="false">H40*G40/1000</f>
        <v>0.150243200000001</v>
      </c>
    </row>
    <row r="41" customFormat="false" ht="15" hidden="false" customHeight="false" outlineLevel="0" collapsed="false">
      <c r="A41" s="20" t="s">
        <v>133</v>
      </c>
      <c r="B41" s="20" t="s">
        <v>486</v>
      </c>
      <c r="C41" s="20" t="s">
        <v>777</v>
      </c>
      <c r="D41" s="20" t="n">
        <v>1</v>
      </c>
      <c r="E41" s="20" t="s">
        <v>791</v>
      </c>
      <c r="F41" s="20" t="str">
        <f aca="false">INDEX($L$5:$L$21,MATCH(E41,$K$5:$K$21,0))</f>
        <v>Metal - Stud Layer</v>
      </c>
      <c r="G41" s="20" t="n">
        <v>136</v>
      </c>
      <c r="H41" s="21" t="n">
        <f aca="false">SUMIFS(Register!$I:$I,Register!$F:$F,A41)</f>
        <v>58.5566550000028</v>
      </c>
      <c r="I41" s="22" t="n">
        <f aca="false">H41*G41/1000</f>
        <v>7.96370508000039</v>
      </c>
    </row>
    <row r="42" customFormat="false" ht="15" hidden="false" customHeight="false" outlineLevel="0" collapsed="false">
      <c r="A42" s="20" t="s">
        <v>133</v>
      </c>
      <c r="B42" s="20" t="s">
        <v>486</v>
      </c>
      <c r="C42" s="20" t="s">
        <v>777</v>
      </c>
      <c r="D42" s="20" t="n">
        <v>2</v>
      </c>
      <c r="E42" s="20" t="s">
        <v>793</v>
      </c>
      <c r="F42" s="20" t="str">
        <f aca="false">INDEX($L$5:$L$21,MATCH(E42,$K$5:$K$21,0))</f>
        <v>Plasterboard</v>
      </c>
      <c r="G42" s="20" t="n">
        <v>16</v>
      </c>
      <c r="H42" s="21" t="n">
        <f aca="false">SUMIFS(Register!$I:$I,Register!$F:$F,A42)</f>
        <v>58.5566550000028</v>
      </c>
      <c r="I42" s="22" t="n">
        <f aca="false">H42*G42/1000</f>
        <v>0.936906480000045</v>
      </c>
    </row>
    <row r="43" customFormat="false" ht="15" hidden="false" customHeight="false" outlineLevel="0" collapsed="false">
      <c r="A43" s="20" t="s">
        <v>135</v>
      </c>
      <c r="B43" s="20" t="s">
        <v>499</v>
      </c>
      <c r="C43" s="20" t="s">
        <v>777</v>
      </c>
      <c r="D43" s="20" t="n">
        <v>1</v>
      </c>
      <c r="E43" s="20" t="s">
        <v>791</v>
      </c>
      <c r="F43" s="20" t="str">
        <f aca="false">INDEX($L$5:$L$21,MATCH(E43,$K$5:$K$21,0))</f>
        <v>Metal - Stud Layer</v>
      </c>
      <c r="G43" s="20" t="n">
        <v>38</v>
      </c>
      <c r="H43" s="21" t="n">
        <f aca="false">SUMIFS(Register!$I:$I,Register!$F:$F,A43)</f>
        <v>2.55536640000006</v>
      </c>
      <c r="I43" s="22" t="n">
        <f aca="false">H43*G43/1000</f>
        <v>0.0971039232000024</v>
      </c>
    </row>
    <row r="44" customFormat="false" ht="15" hidden="false" customHeight="false" outlineLevel="0" collapsed="false">
      <c r="A44" s="20" t="s">
        <v>135</v>
      </c>
      <c r="B44" s="20" t="s">
        <v>499</v>
      </c>
      <c r="C44" s="20" t="s">
        <v>777</v>
      </c>
      <c r="D44" s="20" t="n">
        <v>2</v>
      </c>
      <c r="E44" s="20" t="s">
        <v>793</v>
      </c>
      <c r="F44" s="20" t="str">
        <f aca="false">INDEX($L$5:$L$21,MATCH(E44,$K$5:$K$21,0))</f>
        <v>Plasterboard</v>
      </c>
      <c r="G44" s="20" t="n">
        <v>16</v>
      </c>
      <c r="H44" s="21" t="n">
        <f aca="false">SUMIFS(Register!$I:$I,Register!$F:$F,A44)</f>
        <v>2.55536640000006</v>
      </c>
      <c r="I44" s="22" t="n">
        <f aca="false">H44*G44/1000</f>
        <v>0.040885862400001</v>
      </c>
    </row>
    <row r="45" customFormat="false" ht="15" hidden="false" customHeight="false" outlineLevel="0" collapsed="false">
      <c r="A45" s="20" t="s">
        <v>153</v>
      </c>
      <c r="B45" s="20" t="s">
        <v>538</v>
      </c>
      <c r="C45" s="20" t="s">
        <v>269</v>
      </c>
      <c r="D45" s="20" t="n">
        <v>1</v>
      </c>
      <c r="E45" s="20" t="s">
        <v>794</v>
      </c>
      <c r="F45" s="20" t="str">
        <f aca="false">INDEX($L$5:$L$21,MATCH(E45,$K$5:$K$21,0))</f>
        <v>Wood - Flooring</v>
      </c>
      <c r="G45" s="20" t="n">
        <v>16</v>
      </c>
      <c r="H45" s="21" t="n">
        <f aca="false">SUMIFS(Register!$I:$I,Register!$F:$F,A45)</f>
        <v>196.920615740546</v>
      </c>
      <c r="I45" s="22" t="n">
        <f aca="false">H45*G45/1000</f>
        <v>3.15072985184874</v>
      </c>
    </row>
    <row r="46" customFormat="false" ht="15" hidden="false" customHeight="false" outlineLevel="0" collapsed="false">
      <c r="A46" s="20" t="s">
        <v>153</v>
      </c>
      <c r="B46" s="20" t="s">
        <v>538</v>
      </c>
      <c r="C46" s="20" t="s">
        <v>269</v>
      </c>
      <c r="D46" s="20" t="n">
        <v>2</v>
      </c>
      <c r="E46" s="20" t="s">
        <v>784</v>
      </c>
      <c r="F46" s="20" t="str">
        <f aca="false">INDEX($L$5:$L$21,MATCH(E46,$K$5:$K$21,0))</f>
        <v>Insulation / Thermal Barriers - Semi-rigid insulation</v>
      </c>
      <c r="G46" s="20" t="n">
        <v>3</v>
      </c>
      <c r="H46" s="21" t="n">
        <f aca="false">SUMIFS(Register!$I:$I,Register!$F:$F,A46)</f>
        <v>196.920615740546</v>
      </c>
      <c r="I46" s="22" t="n">
        <f aca="false">H46*G46/1000</f>
        <v>0.590761847221639</v>
      </c>
    </row>
    <row r="47" customFormat="false" ht="15" hidden="false" customHeight="false" outlineLevel="0" collapsed="false">
      <c r="A47" s="20" t="s">
        <v>155</v>
      </c>
      <c r="B47" s="20" t="s">
        <v>555</v>
      </c>
      <c r="C47" s="20" t="s">
        <v>269</v>
      </c>
      <c r="D47" s="20" t="n">
        <v>1</v>
      </c>
      <c r="E47" s="20" t="s">
        <v>779</v>
      </c>
      <c r="F47" s="20" t="str">
        <f aca="false">INDEX($L$5:$L$21,MATCH(E47,$K$5:$K$21,0))</f>
        <v>Ceramic Tile</v>
      </c>
      <c r="G47" s="20" t="n">
        <v>10</v>
      </c>
      <c r="H47" s="21" t="n">
        <f aca="false">SUMIFS(Register!$I:$I,Register!$F:$F,A47)</f>
        <v>44.9097719999997</v>
      </c>
      <c r="I47" s="22" t="n">
        <f aca="false">H47*G47/1000</f>
        <v>0.449097719999997</v>
      </c>
    </row>
    <row r="48" customFormat="false" ht="15" hidden="false" customHeight="false" outlineLevel="0" collapsed="false">
      <c r="A48" s="20" t="s">
        <v>155</v>
      </c>
      <c r="B48" s="20" t="s">
        <v>555</v>
      </c>
      <c r="C48" s="20" t="s">
        <v>269</v>
      </c>
      <c r="D48" s="20" t="n">
        <v>2</v>
      </c>
      <c r="E48" s="20" t="s">
        <v>790</v>
      </c>
      <c r="F48" s="20" t="str">
        <f aca="false">INDEX($L$5:$L$21,MATCH(E48,$K$5:$K$21,0))</f>
        <v>Masonry - Grout</v>
      </c>
      <c r="G48" s="20" t="n">
        <v>3</v>
      </c>
      <c r="H48" s="21" t="n">
        <f aca="false">SUMIFS(Register!$I:$I,Register!$F:$F,A48)</f>
        <v>44.9097719999997</v>
      </c>
      <c r="I48" s="22" t="n">
        <f aca="false">H48*G48/1000</f>
        <v>0.134729315999999</v>
      </c>
    </row>
    <row r="49" customFormat="false" ht="15" hidden="false" customHeight="false" outlineLevel="0" collapsed="false">
      <c r="A49" s="20" t="s">
        <v>160</v>
      </c>
      <c r="B49" s="20" t="s">
        <v>570</v>
      </c>
      <c r="C49" s="20" t="s">
        <v>795</v>
      </c>
      <c r="D49" s="20" t="n">
        <v>1</v>
      </c>
      <c r="E49" s="20" t="s">
        <v>791</v>
      </c>
      <c r="F49" s="20" t="str">
        <f aca="false">INDEX($L$5:$L$21,MATCH(E49,$K$5:$K$21,0))</f>
        <v>Metal - Stud Layer</v>
      </c>
      <c r="G49" s="20" t="n">
        <v>45</v>
      </c>
      <c r="H49" s="21" t="n">
        <f aca="false">SUMIFS(Register!$I:$I,Register!$F:$F,A49)</f>
        <v>243.458851179999</v>
      </c>
      <c r="I49" s="22" t="n">
        <f aca="false">H49*G49/1000</f>
        <v>10.9556483031</v>
      </c>
    </row>
    <row r="50" customFormat="false" ht="15" hidden="false" customHeight="false" outlineLevel="0" collapsed="false">
      <c r="A50" s="20" t="s">
        <v>160</v>
      </c>
      <c r="B50" s="20" t="s">
        <v>570</v>
      </c>
      <c r="C50" s="20" t="s">
        <v>795</v>
      </c>
      <c r="D50" s="20" t="n">
        <v>2</v>
      </c>
      <c r="E50" s="20" t="s">
        <v>793</v>
      </c>
      <c r="F50" s="20" t="str">
        <f aca="false">INDEX($L$5:$L$21,MATCH(E50,$K$5:$K$21,0))</f>
        <v>Plasterboard</v>
      </c>
      <c r="G50" s="20" t="n">
        <v>12</v>
      </c>
      <c r="H50" s="21" t="n">
        <f aca="false">SUMIFS(Register!$I:$I,Register!$F:$F,A50)</f>
        <v>243.458851179999</v>
      </c>
      <c r="I50" s="22" t="n">
        <f aca="false">H50*G50/1000</f>
        <v>2.92150621415999</v>
      </c>
    </row>
    <row r="51" customFormat="false" ht="15" hidden="false" customHeight="false" outlineLevel="0" collapsed="false">
      <c r="A51" s="20" t="s">
        <v>199</v>
      </c>
      <c r="B51" s="20" t="s">
        <v>740</v>
      </c>
      <c r="C51" s="20" t="s">
        <v>269</v>
      </c>
      <c r="D51" s="20" t="n">
        <v>1</v>
      </c>
      <c r="E51" s="20" t="s">
        <v>778</v>
      </c>
      <c r="F51" s="20" t="str">
        <f aca="false">INDEX($L$5:$L$21,MATCH(E51,$K$5:$K$21,0))</f>
        <v>Concrete - Cast In Situ</v>
      </c>
      <c r="G51" s="20" t="n">
        <v>150</v>
      </c>
      <c r="H51" s="21" t="n">
        <f aca="false">SUMIFS(Register!$I:$I,Register!$F:$F,A51)</f>
        <v>50.8397144000002</v>
      </c>
      <c r="I51" s="22" t="n">
        <f aca="false">H51*G51/1000</f>
        <v>7.62595716000003</v>
      </c>
    </row>
    <row r="53" customFormat="false" ht="15" hidden="false" customHeight="false" outlineLevel="0" collapsed="false">
      <c r="A53" s="2" t="s">
        <v>796</v>
      </c>
    </row>
    <row r="54" customFormat="false" ht="15" hidden="false" customHeight="false" outlineLevel="0" collapsed="false">
      <c r="B54" s="27" t="s">
        <v>772</v>
      </c>
      <c r="C54" s="27" t="s">
        <v>797</v>
      </c>
      <c r="D54" s="27" t="s">
        <v>798</v>
      </c>
    </row>
    <row r="55" customFormat="false" ht="15" hidden="false" customHeight="false" outlineLevel="0" collapsed="false">
      <c r="B55" s="20" t="s">
        <v>779</v>
      </c>
      <c r="C55" s="21" t="n">
        <f aca="false">SUMIFS($H$5:$H$51,$F$5:$F$51,B55)</f>
        <v>44.9097719999997</v>
      </c>
      <c r="D55" s="22" t="n">
        <f aca="false">SUMIFS($I$5:$I$51,$F$5:$F$51,B55)</f>
        <v>0.449097719999997</v>
      </c>
    </row>
    <row r="56" customFormat="false" ht="15" hidden="false" customHeight="false" outlineLevel="0" collapsed="false">
      <c r="B56" s="20" t="s">
        <v>778</v>
      </c>
      <c r="C56" s="21" t="n">
        <f aca="false">SUMIFS($H$5:$H$51,$F$5:$F$51,B56)</f>
        <v>257.4244154</v>
      </c>
      <c r="D56" s="22" t="n">
        <f aca="false">SUMIFS($I$5:$I$51,$F$5:$F$51,B56)</f>
        <v>56.387434447</v>
      </c>
    </row>
    <row r="57" customFormat="false" ht="15" hidden="false" customHeight="false" outlineLevel="0" collapsed="false">
      <c r="B57" s="20" t="s">
        <v>782</v>
      </c>
      <c r="C57" s="21" t="n">
        <f aca="false">SUMIFS($H$5:$H$51,$F$5:$F$51,B57)</f>
        <v>400.08825198001</v>
      </c>
      <c r="D57" s="22" t="n">
        <f aca="false">SUMIFS($I$5:$I$51,$F$5:$F$51,B57)</f>
        <v>23.4604895344805</v>
      </c>
    </row>
    <row r="58" customFormat="false" ht="15" hidden="false" customHeight="false" outlineLevel="0" collapsed="false">
      <c r="B58" s="20" t="s">
        <v>784</v>
      </c>
      <c r="C58" s="21" t="n">
        <f aca="false">SUMIFS($H$5:$H$51,$F$5:$F$51,B58)</f>
        <v>196.920615740546</v>
      </c>
      <c r="D58" s="22" t="n">
        <f aca="false">SUMIFS($I$5:$I$51,$F$5:$F$51,B58)</f>
        <v>0.590761847221639</v>
      </c>
    </row>
    <row r="59" customFormat="false" ht="15" hidden="false" customHeight="false" outlineLevel="0" collapsed="false">
      <c r="B59" s="20" t="s">
        <v>786</v>
      </c>
      <c r="C59" s="21" t="n">
        <f aca="false">SUMIFS($H$5:$H$51,$F$5:$F$51,B59)</f>
        <v>267.162216000011</v>
      </c>
      <c r="D59" s="22" t="n">
        <f aca="false">SUMIFS($I$5:$I$51,$F$5:$F$51,B59)</f>
        <v>24.578923872001</v>
      </c>
    </row>
    <row r="60" customFormat="false" ht="15" hidden="false" customHeight="false" outlineLevel="0" collapsed="false">
      <c r="B60" s="20" t="s">
        <v>788</v>
      </c>
      <c r="C60" s="21" t="n">
        <f aca="false">SUMIFS($H$5:$H$51,$F$5:$F$51,B60)</f>
        <v>410.501307163651</v>
      </c>
      <c r="D60" s="22" t="n">
        <f aca="false">SUMIFS($I$5:$I$51,$F$5:$F$51,B60)</f>
        <v>79.2267522825846</v>
      </c>
    </row>
    <row r="61" customFormat="false" ht="15" hidden="false" customHeight="false" outlineLevel="0" collapsed="false">
      <c r="B61" s="20" t="s">
        <v>790</v>
      </c>
      <c r="C61" s="21" t="n">
        <f aca="false">SUMIFS($H$5:$H$51,$F$5:$F$51,B61)</f>
        <v>44.9097719999997</v>
      </c>
      <c r="D61" s="22" t="n">
        <f aca="false">SUMIFS($I$5:$I$51,$F$5:$F$51,B61)</f>
        <v>0.134729315999999</v>
      </c>
    </row>
    <row r="62" customFormat="false" ht="15" hidden="false" customHeight="false" outlineLevel="0" collapsed="false">
      <c r="B62" s="20" t="s">
        <v>791</v>
      </c>
      <c r="C62" s="21" t="n">
        <f aca="false">SUMIFS($H$5:$H$51,$F$5:$F$51,B62)</f>
        <v>830.858029743658</v>
      </c>
      <c r="D62" s="22" t="n">
        <f aca="false">SUMIFS($I$5:$I$51,$F$5:$F$51,B62)</f>
        <v>47.0627211000105</v>
      </c>
    </row>
    <row r="63" customFormat="false" ht="15" hidden="false" customHeight="false" outlineLevel="0" collapsed="false">
      <c r="B63" s="20" t="s">
        <v>792</v>
      </c>
      <c r="C63" s="21" t="n">
        <f aca="false">SUMIFS($H$5:$H$51,$F$5:$F$51,B63)</f>
        <v>338.831761581831</v>
      </c>
      <c r="D63" s="22" t="n">
        <f aca="false">SUMIFS($I$5:$I$51,$F$5:$F$51,B63)</f>
        <v>10.2625326790913</v>
      </c>
    </row>
    <row r="64" customFormat="false" ht="15" hidden="false" customHeight="false" outlineLevel="0" collapsed="false">
      <c r="B64" s="20" t="s">
        <v>793</v>
      </c>
      <c r="C64" s="21" t="n">
        <f aca="false">SUMIFS($H$5:$H$51,$F$5:$F$51,B64)</f>
        <v>946.643879743664</v>
      </c>
      <c r="D64" s="22" t="n">
        <f aca="false">SUMIFS($I$5:$I$51,$F$5:$F$51,B64)</f>
        <v>14.1724666711786</v>
      </c>
    </row>
    <row r="65" customFormat="false" ht="15" hidden="false" customHeight="false" outlineLevel="0" collapsed="false">
      <c r="B65" s="20" t="s">
        <v>787</v>
      </c>
      <c r="C65" s="21" t="n">
        <f aca="false">SUMIFS($H$5:$H$51,$F$5:$F$51,B65)</f>
        <v>132.92603598</v>
      </c>
      <c r="D65" s="22" t="n">
        <f aca="false">SUMIFS($I$5:$I$51,$F$5:$F$51,B65)</f>
        <v>0.797556215879998</v>
      </c>
    </row>
    <row r="66" customFormat="false" ht="15" hidden="false" customHeight="false" outlineLevel="0" collapsed="false">
      <c r="B66" s="20" t="s">
        <v>789</v>
      </c>
      <c r="C66" s="21" t="n">
        <f aca="false">SUMIFS($H$5:$H$51,$F$5:$F$51,B66)</f>
        <v>132.92603598</v>
      </c>
      <c r="D66" s="22" t="n">
        <f aca="false">SUMIFS($I$5:$I$51,$F$5:$F$51,B66)</f>
        <v>0.797556215879998</v>
      </c>
    </row>
    <row r="67" customFormat="false" ht="15" hidden="false" customHeight="false" outlineLevel="0" collapsed="false">
      <c r="B67" s="20" t="s">
        <v>785</v>
      </c>
      <c r="C67" s="21" t="n">
        <f aca="false">SUMIFS($H$5:$H$51,$F$5:$F$51,B67)</f>
        <v>132.92603598</v>
      </c>
      <c r="D67" s="22" t="n">
        <f aca="false">SUMIFS($I$5:$I$51,$F$5:$F$51,B67)</f>
        <v>8.50726630271998</v>
      </c>
    </row>
    <row r="68" customFormat="false" ht="15" hidden="false" customHeight="false" outlineLevel="0" collapsed="false">
      <c r="B68" s="20" t="s">
        <v>783</v>
      </c>
      <c r="C68" s="21" t="n">
        <f aca="false">SUMIFS($H$5:$H$51,$F$5:$F$51,B68)</f>
        <v>251.488801179999</v>
      </c>
      <c r="D68" s="22" t="n">
        <f aca="false">SUMIFS($I$5:$I$51,$F$5:$F$51,B68)</f>
        <v>71.9257971374797</v>
      </c>
    </row>
    <row r="69" customFormat="false" ht="15" hidden="false" customHeight="false" outlineLevel="0" collapsed="false">
      <c r="B69" s="20" t="s">
        <v>794</v>
      </c>
      <c r="C69" s="21" t="n">
        <f aca="false">SUMIFS($H$5:$H$51,$F$5:$F$51,B69)</f>
        <v>196.920615740546</v>
      </c>
      <c r="D69" s="22" t="n">
        <f aca="false">SUMIFS($I$5:$I$51,$F$5:$F$51,B69)</f>
        <v>3.15072985184874</v>
      </c>
    </row>
    <row r="70" customFormat="false" ht="15" hidden="false" customHeight="false" outlineLevel="0" collapsed="false">
      <c r="B70" s="20" t="s">
        <v>781</v>
      </c>
      <c r="C70" s="21" t="n">
        <f aca="false">SUMIFS($H$5:$H$51,$F$5:$F$51,B70)</f>
        <v>251.488801179999</v>
      </c>
      <c r="D70" s="22" t="n">
        <f aca="false">SUMIFS($I$5:$I$51,$F$5:$F$51,B70)</f>
        <v>4.77828722241998</v>
      </c>
    </row>
    <row r="71" customFormat="false" ht="15" hidden="false" customHeight="false" outlineLevel="0" collapsed="false">
      <c r="B71" s="20" t="s">
        <v>799</v>
      </c>
      <c r="C71" s="20"/>
      <c r="D71" s="22" t="n">
        <f aca="false">SUMIFS(Register!$J:$J,Register!$F:$F,"1.01")</f>
        <v>16.52805</v>
      </c>
    </row>
    <row r="72" customFormat="false" ht="15" hidden="false" customHeight="false" outlineLevel="0" collapsed="false">
      <c r="B72" s="20" t="s">
        <v>800</v>
      </c>
      <c r="C72" s="20"/>
      <c r="D72" s="23" t="n">
        <f aca="false">SUMIFS(Register!$N:$N,Register!$F:$F,"2.1.*")</f>
        <v>2631.14004588663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5" t="s">
        <v>801</v>
      </c>
      <c r="B1" s="5" t="s">
        <v>802</v>
      </c>
      <c r="C1" s="5" t="s">
        <v>803</v>
      </c>
      <c r="D1" s="5" t="s">
        <v>769</v>
      </c>
      <c r="E1" s="5" t="s">
        <v>804</v>
      </c>
      <c r="F1" s="5" t="s">
        <v>217</v>
      </c>
      <c r="G1" s="5" t="s">
        <v>758</v>
      </c>
      <c r="H1" s="5" t="s">
        <v>805</v>
      </c>
      <c r="I1" s="5" t="s">
        <v>806</v>
      </c>
      <c r="J1" s="5" t="s">
        <v>807</v>
      </c>
    </row>
    <row r="2" customFormat="false" ht="15" hidden="false" customHeight="false" outlineLevel="0" collapsed="false">
      <c r="A2" s="20" t="s">
        <v>808</v>
      </c>
      <c r="B2" s="20" t="s">
        <v>809</v>
      </c>
      <c r="C2" s="20" t="s">
        <v>271</v>
      </c>
      <c r="D2" s="20" t="s">
        <v>810</v>
      </c>
      <c r="E2" s="21" t="n">
        <v>17.9362367499998</v>
      </c>
      <c r="F2" s="21" t="n">
        <v>24.216</v>
      </c>
      <c r="G2" s="21" t="n">
        <v>2.6</v>
      </c>
      <c r="H2" s="21" t="n">
        <v>40.2412537019994</v>
      </c>
      <c r="I2" s="21" t="n">
        <v>17.9362367499998</v>
      </c>
      <c r="J2" s="28" t="s">
        <v>811</v>
      </c>
    </row>
    <row r="3" customFormat="false" ht="15" hidden="false" customHeight="false" outlineLevel="0" collapsed="false">
      <c r="A3" s="20" t="s">
        <v>812</v>
      </c>
      <c r="B3" s="20" t="s">
        <v>813</v>
      </c>
      <c r="C3" s="20" t="s">
        <v>271</v>
      </c>
      <c r="D3" s="20" t="s">
        <v>814</v>
      </c>
      <c r="E3" s="21" t="n">
        <v>30.1416452499999</v>
      </c>
      <c r="F3" s="21" t="n">
        <v>22.028</v>
      </c>
      <c r="G3" s="21" t="n">
        <v>2.6</v>
      </c>
      <c r="H3" s="21" t="n">
        <v>71.3906897089998</v>
      </c>
      <c r="I3" s="21" t="n">
        <v>30.1416452499999</v>
      </c>
      <c r="J3" s="28" t="s">
        <v>811</v>
      </c>
    </row>
    <row r="4" customFormat="false" ht="15" hidden="false" customHeight="false" outlineLevel="0" collapsed="false">
      <c r="A4" s="20" t="s">
        <v>815</v>
      </c>
      <c r="B4" s="20" t="s">
        <v>816</v>
      </c>
      <c r="C4" s="20" t="s">
        <v>271</v>
      </c>
      <c r="D4" s="20" t="s">
        <v>816</v>
      </c>
      <c r="E4" s="21" t="n">
        <v>13.8975009999999</v>
      </c>
      <c r="F4" s="21" t="n">
        <v>16.4194608</v>
      </c>
      <c r="G4" s="21" t="n">
        <v>2.6</v>
      </c>
      <c r="H4" s="21" t="n">
        <v>33.5121790899997</v>
      </c>
      <c r="I4" s="21" t="n">
        <v>13.8975009999999</v>
      </c>
      <c r="J4" s="28" t="s">
        <v>811</v>
      </c>
    </row>
    <row r="5" customFormat="false" ht="15" hidden="false" customHeight="false" outlineLevel="0" collapsed="false">
      <c r="A5" s="20" t="s">
        <v>817</v>
      </c>
      <c r="B5" s="20" t="s">
        <v>818</v>
      </c>
      <c r="C5" s="20" t="s">
        <v>271</v>
      </c>
      <c r="D5" s="20" t="s">
        <v>819</v>
      </c>
      <c r="E5" s="21" t="n">
        <v>3.99775200000005</v>
      </c>
      <c r="F5" s="21" t="n">
        <v>8.20400000000007</v>
      </c>
      <c r="G5" s="21" t="n">
        <v>2.6</v>
      </c>
      <c r="H5" s="21" t="n">
        <v>8.17744491200013</v>
      </c>
      <c r="I5" s="21" t="n">
        <v>3.99775200000005</v>
      </c>
      <c r="J5" s="28" t="s">
        <v>811</v>
      </c>
    </row>
    <row r="6" customFormat="false" ht="15" hidden="false" customHeight="false" outlineLevel="0" collapsed="false">
      <c r="A6" s="20" t="s">
        <v>820</v>
      </c>
      <c r="B6" s="20" t="s">
        <v>320</v>
      </c>
      <c r="C6" s="20" t="s">
        <v>271</v>
      </c>
      <c r="D6" s="20" t="s">
        <v>821</v>
      </c>
      <c r="E6" s="21" t="n">
        <v>4.92217250000002</v>
      </c>
      <c r="F6" s="21" t="n">
        <v>10.4958</v>
      </c>
      <c r="G6" s="21" t="n">
        <v>5.7000000000002</v>
      </c>
      <c r="H6" s="21" t="n">
        <v>20.7960622400008</v>
      </c>
      <c r="I6" s="21" t="n">
        <v>4.92217250000002</v>
      </c>
      <c r="J6" s="28" t="s">
        <v>811</v>
      </c>
    </row>
    <row r="7" customFormat="false" ht="15" hidden="false" customHeight="false" outlineLevel="0" collapsed="false">
      <c r="A7" s="20" t="s">
        <v>822</v>
      </c>
      <c r="B7" s="20" t="s">
        <v>809</v>
      </c>
      <c r="C7" s="20" t="s">
        <v>271</v>
      </c>
      <c r="D7" s="20" t="s">
        <v>810</v>
      </c>
      <c r="E7" s="21" t="n">
        <v>17.9362367499999</v>
      </c>
      <c r="F7" s="21" t="n">
        <v>24.216</v>
      </c>
      <c r="G7" s="21" t="n">
        <v>2.6</v>
      </c>
      <c r="H7" s="21" t="n">
        <v>40.2412537019999</v>
      </c>
      <c r="I7" s="21" t="n">
        <v>17.9362367499999</v>
      </c>
      <c r="J7" s="28" t="s">
        <v>811</v>
      </c>
    </row>
    <row r="8" customFormat="false" ht="15" hidden="false" customHeight="false" outlineLevel="0" collapsed="false">
      <c r="A8" s="20" t="s">
        <v>823</v>
      </c>
      <c r="B8" s="20" t="s">
        <v>813</v>
      </c>
      <c r="C8" s="20" t="s">
        <v>271</v>
      </c>
      <c r="D8" s="20" t="s">
        <v>814</v>
      </c>
      <c r="E8" s="21" t="n">
        <v>30.14164525</v>
      </c>
      <c r="F8" s="21" t="n">
        <v>22.028</v>
      </c>
      <c r="G8" s="21" t="n">
        <v>2.6</v>
      </c>
      <c r="H8" s="21" t="n">
        <v>71.3906897089999</v>
      </c>
      <c r="I8" s="21" t="n">
        <v>30.14164525</v>
      </c>
      <c r="J8" s="28" t="s">
        <v>811</v>
      </c>
    </row>
    <row r="9" customFormat="false" ht="15" hidden="false" customHeight="false" outlineLevel="0" collapsed="false">
      <c r="A9" s="20" t="s">
        <v>824</v>
      </c>
      <c r="B9" s="20" t="s">
        <v>816</v>
      </c>
      <c r="C9" s="20" t="s">
        <v>271</v>
      </c>
      <c r="D9" s="20" t="s">
        <v>816</v>
      </c>
      <c r="E9" s="21" t="n">
        <v>13.8975009999998</v>
      </c>
      <c r="F9" s="21" t="n">
        <v>16.4194607999999</v>
      </c>
      <c r="G9" s="21" t="n">
        <v>2.6</v>
      </c>
      <c r="H9" s="21" t="n">
        <v>33.5121790899995</v>
      </c>
      <c r="I9" s="21" t="n">
        <v>13.8975009999998</v>
      </c>
      <c r="J9" s="28" t="s">
        <v>811</v>
      </c>
    </row>
    <row r="10" customFormat="false" ht="15" hidden="false" customHeight="false" outlineLevel="0" collapsed="false">
      <c r="A10" s="20" t="s">
        <v>825</v>
      </c>
      <c r="B10" s="20" t="s">
        <v>818</v>
      </c>
      <c r="C10" s="20" t="s">
        <v>271</v>
      </c>
      <c r="D10" s="20" t="s">
        <v>819</v>
      </c>
      <c r="E10" s="21" t="n">
        <v>3.99775200000007</v>
      </c>
      <c r="F10" s="21" t="n">
        <v>8.20400000000009</v>
      </c>
      <c r="G10" s="21" t="n">
        <v>2.6</v>
      </c>
      <c r="H10" s="21" t="n">
        <v>8.17744491200017</v>
      </c>
      <c r="I10" s="21" t="n">
        <v>3.99775200000007</v>
      </c>
      <c r="J10" s="28" t="s">
        <v>811</v>
      </c>
    </row>
    <row r="11" customFormat="false" ht="15" hidden="false" customHeight="false" outlineLevel="0" collapsed="false">
      <c r="A11" s="20" t="s">
        <v>826</v>
      </c>
      <c r="B11" s="20" t="s">
        <v>827</v>
      </c>
      <c r="C11" s="20" t="s">
        <v>271</v>
      </c>
      <c r="D11" s="20" t="s">
        <v>821</v>
      </c>
      <c r="E11" s="21" t="n">
        <v>4.92217250000005</v>
      </c>
      <c r="F11" s="21" t="n">
        <v>10.4958</v>
      </c>
      <c r="G11" s="21" t="n">
        <v>5.7000000000002</v>
      </c>
      <c r="H11" s="21" t="n">
        <v>20.7960622400008</v>
      </c>
      <c r="I11" s="21" t="n">
        <v>4.92217250000005</v>
      </c>
      <c r="J11" s="28" t="s">
        <v>811</v>
      </c>
    </row>
    <row r="12" customFormat="false" ht="15" hidden="false" customHeight="false" outlineLevel="0" collapsed="false">
      <c r="A12" s="20" t="s">
        <v>828</v>
      </c>
      <c r="B12" s="20" t="s">
        <v>829</v>
      </c>
      <c r="C12" s="20" t="s">
        <v>291</v>
      </c>
      <c r="D12" s="20" t="s">
        <v>810</v>
      </c>
      <c r="E12" s="21" t="n">
        <v>7.79995469999988</v>
      </c>
      <c r="F12" s="21" t="n">
        <v>15.3189999999999</v>
      </c>
      <c r="G12" s="21" t="n">
        <v>2.90000000000001</v>
      </c>
      <c r="H12" s="21" t="n">
        <v>18.115464263001</v>
      </c>
      <c r="I12" s="21" t="n">
        <v>7.79995469999988</v>
      </c>
      <c r="J12" s="28" t="s">
        <v>811</v>
      </c>
    </row>
    <row r="13" customFormat="false" ht="15" hidden="false" customHeight="false" outlineLevel="0" collapsed="false">
      <c r="A13" s="20" t="s">
        <v>830</v>
      </c>
      <c r="B13" s="20" t="s">
        <v>831</v>
      </c>
      <c r="C13" s="20" t="s">
        <v>291</v>
      </c>
      <c r="D13" s="20" t="s">
        <v>832</v>
      </c>
      <c r="E13" s="21" t="n">
        <v>26.11931425</v>
      </c>
      <c r="F13" s="21" t="n">
        <v>21.422</v>
      </c>
      <c r="G13" s="21" t="n">
        <v>2.6</v>
      </c>
      <c r="H13" s="21" t="n">
        <v>56.8935817920039</v>
      </c>
      <c r="I13" s="21" t="n">
        <v>26.11931425</v>
      </c>
      <c r="J13" s="28" t="s">
        <v>811</v>
      </c>
    </row>
    <row r="14" customFormat="false" ht="15" hidden="false" customHeight="false" outlineLevel="0" collapsed="false">
      <c r="A14" s="20" t="s">
        <v>833</v>
      </c>
      <c r="B14" s="20" t="s">
        <v>834</v>
      </c>
      <c r="C14" s="20" t="s">
        <v>291</v>
      </c>
      <c r="D14" s="20" t="s">
        <v>832</v>
      </c>
      <c r="E14" s="21" t="n">
        <v>26.17799425</v>
      </c>
      <c r="F14" s="21" t="n">
        <v>21.482</v>
      </c>
      <c r="G14" s="21" t="n">
        <v>2.6</v>
      </c>
      <c r="H14" s="21" t="n">
        <v>56.8935817920039</v>
      </c>
      <c r="I14" s="21" t="n">
        <v>26.17799425</v>
      </c>
      <c r="J14" s="28" t="s">
        <v>811</v>
      </c>
    </row>
    <row r="15" customFormat="false" ht="15" hidden="false" customHeight="false" outlineLevel="0" collapsed="false">
      <c r="A15" s="20" t="s">
        <v>835</v>
      </c>
      <c r="B15" s="20" t="s">
        <v>836</v>
      </c>
      <c r="C15" s="20" t="s">
        <v>291</v>
      </c>
      <c r="D15" s="20" t="s">
        <v>819</v>
      </c>
      <c r="E15" s="21" t="n">
        <v>5.4158194013112</v>
      </c>
      <c r="F15" s="21" t="n">
        <v>9.841231529857</v>
      </c>
      <c r="G15" s="21" t="n">
        <v>2.6</v>
      </c>
      <c r="H15" s="21" t="n">
        <v>12.2402208594189</v>
      </c>
      <c r="I15" s="21" t="n">
        <v>5.4158194013112</v>
      </c>
      <c r="J15" s="28" t="s">
        <v>811</v>
      </c>
    </row>
    <row r="16" customFormat="false" ht="15" hidden="false" customHeight="false" outlineLevel="0" collapsed="false">
      <c r="A16" s="20" t="s">
        <v>837</v>
      </c>
      <c r="B16" s="20" t="s">
        <v>838</v>
      </c>
      <c r="C16" s="20" t="s">
        <v>291</v>
      </c>
      <c r="D16" s="20" t="s">
        <v>839</v>
      </c>
      <c r="E16" s="21" t="n">
        <v>1.75404859868889</v>
      </c>
      <c r="F16" s="21" t="n">
        <v>5.43476847014308</v>
      </c>
      <c r="G16" s="21" t="n">
        <v>2.6</v>
      </c>
      <c r="H16" s="21" t="n">
        <v>3.67206430858246</v>
      </c>
      <c r="I16" s="21" t="n">
        <v>1.75404859868889</v>
      </c>
      <c r="J16" s="28" t="s">
        <v>811</v>
      </c>
    </row>
    <row r="17" customFormat="false" ht="15" hidden="false" customHeight="false" outlineLevel="0" collapsed="false">
      <c r="A17" s="20" t="s">
        <v>840</v>
      </c>
      <c r="B17" s="20" t="s">
        <v>829</v>
      </c>
      <c r="C17" s="20" t="s">
        <v>291</v>
      </c>
      <c r="D17" s="20" t="s">
        <v>810</v>
      </c>
      <c r="E17" s="21" t="n">
        <v>7.79995469999998</v>
      </c>
      <c r="F17" s="21" t="n">
        <v>15.319</v>
      </c>
      <c r="G17" s="21" t="n">
        <v>2.90000000000001</v>
      </c>
      <c r="H17" s="21" t="n">
        <v>18.1154642630012</v>
      </c>
      <c r="I17" s="21" t="n">
        <v>7.79995469999998</v>
      </c>
      <c r="J17" s="28" t="s">
        <v>811</v>
      </c>
    </row>
    <row r="18" customFormat="false" ht="15" hidden="false" customHeight="false" outlineLevel="0" collapsed="false">
      <c r="A18" s="20" t="s">
        <v>841</v>
      </c>
      <c r="B18" s="20" t="s">
        <v>831</v>
      </c>
      <c r="C18" s="20" t="s">
        <v>291</v>
      </c>
      <c r="D18" s="20" t="s">
        <v>832</v>
      </c>
      <c r="E18" s="21" t="n">
        <v>26.1193142499998</v>
      </c>
      <c r="F18" s="21" t="n">
        <v>21.4219999999999</v>
      </c>
      <c r="G18" s="21" t="n">
        <v>2.6</v>
      </c>
      <c r="H18" s="21" t="n">
        <v>56.8935817920035</v>
      </c>
      <c r="I18" s="21" t="n">
        <v>26.1193142499998</v>
      </c>
      <c r="J18" s="28" t="s">
        <v>811</v>
      </c>
    </row>
    <row r="19" customFormat="false" ht="15" hidden="false" customHeight="false" outlineLevel="0" collapsed="false">
      <c r="A19" s="20" t="s">
        <v>842</v>
      </c>
      <c r="B19" s="20" t="s">
        <v>834</v>
      </c>
      <c r="C19" s="20" t="s">
        <v>291</v>
      </c>
      <c r="D19" s="20" t="s">
        <v>832</v>
      </c>
      <c r="E19" s="21" t="n">
        <v>26.17799425</v>
      </c>
      <c r="F19" s="21" t="n">
        <v>21.908</v>
      </c>
      <c r="G19" s="21" t="n">
        <v>2.6</v>
      </c>
      <c r="H19" s="21" t="n">
        <v>56.8935817920039</v>
      </c>
      <c r="I19" s="21" t="n">
        <v>26.17799425</v>
      </c>
      <c r="J19" s="28" t="s">
        <v>811</v>
      </c>
    </row>
    <row r="20" customFormat="false" ht="15" hidden="false" customHeight="false" outlineLevel="0" collapsed="false">
      <c r="A20" s="20" t="s">
        <v>843</v>
      </c>
      <c r="B20" s="20" t="s">
        <v>836</v>
      </c>
      <c r="C20" s="20" t="s">
        <v>291</v>
      </c>
      <c r="D20" s="20" t="s">
        <v>819</v>
      </c>
      <c r="E20" s="21" t="n">
        <v>5.44147305868456</v>
      </c>
      <c r="F20" s="21" t="n">
        <v>9.87210235702115</v>
      </c>
      <c r="G20" s="21" t="n">
        <v>2.6</v>
      </c>
      <c r="H20" s="21" t="n">
        <v>12.3010763357825</v>
      </c>
      <c r="I20" s="21" t="n">
        <v>5.44147305868456</v>
      </c>
      <c r="J20" s="28" t="s">
        <v>811</v>
      </c>
    </row>
    <row r="21" customFormat="false" ht="15" hidden="false" customHeight="false" outlineLevel="0" collapsed="false">
      <c r="A21" s="20" t="s">
        <v>844</v>
      </c>
      <c r="B21" s="20" t="s">
        <v>838</v>
      </c>
      <c r="C21" s="20" t="s">
        <v>291</v>
      </c>
      <c r="D21" s="20" t="s">
        <v>839</v>
      </c>
      <c r="E21" s="21" t="n">
        <v>1.72839494131539</v>
      </c>
      <c r="F21" s="21" t="n">
        <v>5.4038976429788</v>
      </c>
      <c r="G21" s="21" t="n">
        <v>2.6</v>
      </c>
      <c r="H21" s="21" t="n">
        <v>3.61120883221852</v>
      </c>
      <c r="I21" s="21" t="n">
        <v>1.72839494131539</v>
      </c>
      <c r="J21" s="28" t="s">
        <v>811</v>
      </c>
    </row>
    <row r="22" customFormat="false" ht="15" hidden="false" customHeight="false" outlineLevel="0" collapsed="false">
      <c r="A22" s="20" t="s">
        <v>845</v>
      </c>
      <c r="B22" s="20" t="s">
        <v>308</v>
      </c>
      <c r="C22" s="20" t="s">
        <v>308</v>
      </c>
      <c r="D22" s="20" t="s">
        <v>846</v>
      </c>
      <c r="E22" s="21" t="n">
        <v>145.721689</v>
      </c>
      <c r="F22" s="21" t="n">
        <v>51.5319999999999</v>
      </c>
      <c r="G22" s="21" t="n">
        <v>3</v>
      </c>
      <c r="H22" s="21" t="n">
        <v>405.453467999999</v>
      </c>
      <c r="I22" s="21" t="n">
        <v>145.721689</v>
      </c>
      <c r="J22" s="28" t="s">
        <v>847</v>
      </c>
    </row>
    <row r="24" customFormat="false" ht="15" hidden="false" customHeight="false" outlineLevel="0" collapsed="false">
      <c r="B24" s="2" t="s">
        <v>848</v>
      </c>
    </row>
    <row r="25" customFormat="false" ht="15" hidden="false" customHeight="false" outlineLevel="0" collapsed="false">
      <c r="C25" s="29" t="s">
        <v>271</v>
      </c>
      <c r="E25" s="30" t="n">
        <f aca="false">SUMIFS($E$2:$E$22,$C$2:$C$22,C25,$J$2:$J$22,"Y")</f>
        <v>141.790615</v>
      </c>
    </row>
    <row r="26" customFormat="false" ht="15" hidden="false" customHeight="false" outlineLevel="0" collapsed="false">
      <c r="C26" s="29" t="s">
        <v>291</v>
      </c>
      <c r="E26" s="30" t="n">
        <f aca="false">SUMIFS($E$2:$E$22,$C$2:$C$22,C26,$J$2:$J$22,"Y")</f>
        <v>134.5342624</v>
      </c>
    </row>
    <row r="27" customFormat="false" ht="15" hidden="false" customHeight="false" outlineLevel="0" collapsed="false">
      <c r="C27" s="29" t="s">
        <v>308</v>
      </c>
      <c r="E27" s="30" t="n">
        <f aca="false">SUMIFS($E$2:$E$22,$C$2:$C$22,C27,$J$2:$J$22,"Y")</f>
        <v>0</v>
      </c>
    </row>
    <row r="28" customFormat="false" ht="15" hidden="false" customHeight="false" outlineLevel="0" collapsed="false">
      <c r="C28" s="2" t="s">
        <v>849</v>
      </c>
      <c r="E28" s="31" t="n">
        <f aca="false">SUM(E25:E27)</f>
        <v>276.324877399999</v>
      </c>
    </row>
    <row r="29" customFormat="false" ht="15" hidden="false" customHeight="false" outlineLevel="0" collapsed="false">
      <c r="B29" s="4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4" min="3" style="0" width="80"/>
  </cols>
  <sheetData>
    <row r="1" customFormat="false" ht="17.35" hidden="false" customHeight="false" outlineLevel="0" collapsed="false">
      <c r="A1" s="1" t="s">
        <v>851</v>
      </c>
    </row>
    <row r="3" customFormat="false" ht="15" hidden="false" customHeight="false" outlineLevel="0" collapsed="false">
      <c r="A3" s="5" t="s">
        <v>852</v>
      </c>
      <c r="B3" s="5" t="s">
        <v>853</v>
      </c>
      <c r="C3" s="5" t="s">
        <v>854</v>
      </c>
      <c r="D3" s="5" t="s">
        <v>855</v>
      </c>
    </row>
    <row r="4" customFormat="false" ht="23.85" hidden="false" customHeight="false" outlineLevel="0" collapsed="false">
      <c r="A4" s="9" t="s">
        <v>856</v>
      </c>
      <c r="B4" s="9" t="s">
        <v>857</v>
      </c>
      <c r="C4" s="9" t="s">
        <v>858</v>
      </c>
      <c r="D4" s="9" t="s">
        <v>859</v>
      </c>
    </row>
    <row r="5" customFormat="false" ht="23.85" hidden="false" customHeight="false" outlineLevel="0" collapsed="false">
      <c r="A5" s="9" t="s">
        <v>350</v>
      </c>
      <c r="B5" s="9" t="s">
        <v>860</v>
      </c>
      <c r="C5" s="9" t="s">
        <v>861</v>
      </c>
      <c r="D5" s="9" t="s">
        <v>862</v>
      </c>
    </row>
    <row r="6" customFormat="false" ht="23.85" hidden="false" customHeight="false" outlineLevel="0" collapsed="false">
      <c r="A6" s="9" t="s">
        <v>350</v>
      </c>
      <c r="B6" s="9" t="s">
        <v>863</v>
      </c>
      <c r="C6" s="9" t="s">
        <v>864</v>
      </c>
      <c r="D6" s="9" t="s">
        <v>865</v>
      </c>
    </row>
    <row r="7" customFormat="false" ht="35.05" hidden="false" customHeight="false" outlineLevel="0" collapsed="false">
      <c r="A7" s="9" t="s">
        <v>350</v>
      </c>
      <c r="B7" s="9" t="s">
        <v>866</v>
      </c>
      <c r="C7" s="9" t="s">
        <v>867</v>
      </c>
      <c r="D7" s="9" t="s">
        <v>868</v>
      </c>
    </row>
    <row r="8" customFormat="false" ht="23.85" hidden="false" customHeight="false" outlineLevel="0" collapsed="false">
      <c r="A8" s="9" t="s">
        <v>280</v>
      </c>
      <c r="B8" s="9" t="s">
        <v>869</v>
      </c>
      <c r="C8" s="9" t="s">
        <v>870</v>
      </c>
      <c r="D8" s="9" t="s">
        <v>871</v>
      </c>
    </row>
    <row r="9" customFormat="false" ht="15" hidden="false" customHeight="false" outlineLevel="0" collapsed="false">
      <c r="A9" s="9" t="s">
        <v>872</v>
      </c>
      <c r="B9" s="9" t="s">
        <v>873</v>
      </c>
      <c r="C9" s="9" t="s">
        <v>874</v>
      </c>
      <c r="D9" s="9" t="s">
        <v>875</v>
      </c>
    </row>
    <row r="10" customFormat="false" ht="23.85" hidden="false" customHeight="false" outlineLevel="0" collapsed="false">
      <c r="A10" s="9" t="s">
        <v>856</v>
      </c>
      <c r="B10" s="9" t="s">
        <v>876</v>
      </c>
      <c r="C10" s="9" t="s">
        <v>877</v>
      </c>
      <c r="D10" s="9" t="s">
        <v>878</v>
      </c>
    </row>
    <row r="11" customFormat="false" ht="23.85" hidden="false" customHeight="false" outlineLevel="0" collapsed="false">
      <c r="A11" s="9" t="s">
        <v>856</v>
      </c>
      <c r="B11" s="9" t="s">
        <v>879</v>
      </c>
      <c r="C11" s="9" t="s">
        <v>880</v>
      </c>
      <c r="D11" s="9" t="s">
        <v>881</v>
      </c>
    </row>
    <row r="12" customFormat="false" ht="23.85" hidden="false" customHeight="false" outlineLevel="0" collapsed="false">
      <c r="A12" s="9" t="s">
        <v>882</v>
      </c>
      <c r="B12" s="9" t="s">
        <v>883</v>
      </c>
      <c r="C12" s="9" t="s">
        <v>884</v>
      </c>
      <c r="D12" s="9" t="s">
        <v>885</v>
      </c>
    </row>
    <row r="13" customFormat="false" ht="15" hidden="false" customHeight="false" outlineLevel="0" collapsed="false">
      <c r="A13" s="9" t="s">
        <v>886</v>
      </c>
      <c r="B13" s="9" t="s">
        <v>887</v>
      </c>
      <c r="C13" s="9" t="s">
        <v>888</v>
      </c>
      <c r="D13" s="9" t="s">
        <v>889</v>
      </c>
    </row>
    <row r="14" customFormat="false" ht="15" hidden="false" customHeight="false" outlineLevel="0" collapsed="false">
      <c r="A14" s="9" t="s">
        <v>886</v>
      </c>
      <c r="B14" s="9" t="s">
        <v>890</v>
      </c>
      <c r="C14" s="9" t="s">
        <v>891</v>
      </c>
      <c r="D14" s="9" t="s">
        <v>892</v>
      </c>
    </row>
    <row r="15" customFormat="false" ht="15" hidden="false" customHeight="false" outlineLevel="0" collapsed="false">
      <c r="A15" s="9" t="s">
        <v>886</v>
      </c>
      <c r="B15" s="9" t="s">
        <v>893</v>
      </c>
      <c r="C15" s="9" t="s">
        <v>894</v>
      </c>
      <c r="D15" s="9" t="s">
        <v>895</v>
      </c>
    </row>
    <row r="16" customFormat="false" ht="15" hidden="false" customHeight="false" outlineLevel="0" collapsed="false">
      <c r="A16" s="9" t="s">
        <v>886</v>
      </c>
      <c r="B16" s="9" t="s">
        <v>896</v>
      </c>
      <c r="C16" s="9" t="s">
        <v>897</v>
      </c>
      <c r="D16" s="9" t="s">
        <v>898</v>
      </c>
    </row>
    <row r="17" customFormat="false" ht="15" hidden="false" customHeight="false" outlineLevel="0" collapsed="false">
      <c r="A17" s="9" t="s">
        <v>899</v>
      </c>
      <c r="B17" s="9" t="s">
        <v>900</v>
      </c>
      <c r="C17" s="9" t="s">
        <v>901</v>
      </c>
      <c r="D17" s="9" t="s">
        <v>902</v>
      </c>
    </row>
    <row r="18" customFormat="false" ht="15" hidden="false" customHeight="false" outlineLevel="0" collapsed="false">
      <c r="A18" s="9" t="s">
        <v>886</v>
      </c>
      <c r="B18" s="9" t="s">
        <v>903</v>
      </c>
      <c r="C18" s="9" t="s">
        <v>904</v>
      </c>
      <c r="D18" s="9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906</v>
      </c>
    </row>
    <row r="3" customFormat="false" ht="15" hidden="false" customHeight="false" outlineLevel="0" collapsed="false">
      <c r="A3" s="5" t="s">
        <v>907</v>
      </c>
      <c r="B3" s="5" t="s">
        <v>908</v>
      </c>
      <c r="C3" s="5" t="s">
        <v>29</v>
      </c>
      <c r="D3" s="5" t="s">
        <v>909</v>
      </c>
    </row>
    <row r="4" customFormat="false" ht="15" hidden="false" customHeight="false" outlineLevel="0" collapsed="false">
      <c r="A4" s="20" t="s">
        <v>910</v>
      </c>
      <c r="B4" s="28" t="n">
        <v>7850</v>
      </c>
      <c r="C4" s="20" t="s">
        <v>911</v>
      </c>
      <c r="D4" s="20" t="s">
        <v>912</v>
      </c>
    </row>
    <row r="5" customFormat="false" ht="15" hidden="false" customHeight="false" outlineLevel="0" collapsed="false">
      <c r="A5" s="20" t="s">
        <v>913</v>
      </c>
      <c r="B5" s="28" t="n">
        <v>0</v>
      </c>
      <c r="C5" s="20" t="s">
        <v>42</v>
      </c>
      <c r="D5" s="20" t="s">
        <v>914</v>
      </c>
    </row>
    <row r="6" customFormat="false" ht="15" hidden="false" customHeight="false" outlineLevel="0" collapsed="false">
      <c r="A6" s="20" t="s">
        <v>915</v>
      </c>
      <c r="B6" s="28" t="n">
        <v>0.3</v>
      </c>
      <c r="C6" s="20" t="s">
        <v>94</v>
      </c>
      <c r="D6" s="20" t="s">
        <v>916</v>
      </c>
    </row>
    <row r="7" customFormat="false" ht="15" hidden="false" customHeight="false" outlineLevel="0" collapsed="false">
      <c r="A7" s="20" t="s">
        <v>917</v>
      </c>
      <c r="B7" s="28" t="n">
        <v>0.127</v>
      </c>
      <c r="C7" s="20" t="s">
        <v>94</v>
      </c>
      <c r="D7" s="20" t="s">
        <v>918</v>
      </c>
    </row>
    <row r="8" customFormat="false" ht="15" hidden="false" customHeight="false" outlineLevel="0" collapsed="false">
      <c r="A8" s="20" t="s">
        <v>919</v>
      </c>
      <c r="B8" s="28" t="n">
        <v>0.15</v>
      </c>
      <c r="C8" s="20" t="s">
        <v>94</v>
      </c>
      <c r="D8" s="20" t="s">
        <v>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2026-10-03T15:34:16Z</dcterms:created>
  <dc:creator>openpyxl</dc:creator>
  <dc:description/>
  <dc:language>en-US</dc:language>
  <cp:lastModifiedBy/>
  <dcterms:modified xsi:type="dcterms:W3CDTF">2026-10-03T15:34:17Z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